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Nghiên Cứu Khoa Học\CAR-T Therapy\"/>
    </mc:Choice>
  </mc:AlternateContent>
  <xr:revisionPtr revIDLastSave="0" documentId="13_ncr:1_{BCACF12A-5FF9-45FF-9775-8834B9A71C3A}" xr6:coauthVersionLast="47" xr6:coauthVersionMax="47" xr10:uidLastSave="{00000000-0000-0000-0000-000000000000}"/>
  <bookViews>
    <workbookView xWindow="-110" yWindow="-110" windowWidth="25820" windowHeight="15500" activeTab="1" xr2:uid="{F72609D0-89FD-4D25-9FB8-7263CA93D5B1}"/>
  </bookViews>
  <sheets>
    <sheet name="Patient info" sheetId="1" r:id="rId1"/>
    <sheet name="Hiệu quảSurvival" sheetId="2" r:id="rId2"/>
    <sheet name="Clinical Raw data" sheetId="3" r:id="rId3"/>
    <sheet name="CART and B cell follow u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E29" i="5" l="1"/>
  <c r="AW29" i="5"/>
  <c r="BL10" i="5"/>
  <c r="AP17" i="3"/>
  <c r="AQ17" i="3" s="1"/>
  <c r="M17" i="3"/>
  <c r="L17" i="3"/>
  <c r="AP16" i="3"/>
  <c r="AQ16" i="3" s="1"/>
  <c r="M16" i="3"/>
  <c r="L16" i="3"/>
  <c r="AP15" i="3"/>
  <c r="AQ15" i="3" s="1"/>
  <c r="M15" i="3"/>
  <c r="L15" i="3"/>
  <c r="AP14" i="3"/>
  <c r="M14" i="3"/>
  <c r="L14" i="3"/>
  <c r="AQ13" i="3"/>
  <c r="AP13" i="3"/>
  <c r="M13" i="3"/>
  <c r="L13" i="3"/>
  <c r="AP12" i="3"/>
  <c r="AQ12" i="3" s="1"/>
  <c r="M12" i="3"/>
  <c r="L12" i="3"/>
  <c r="AP11" i="3"/>
  <c r="AQ11" i="3" s="1"/>
  <c r="M11" i="3"/>
  <c r="L11" i="3"/>
  <c r="AP10" i="3"/>
  <c r="AQ10" i="3" s="1"/>
  <c r="M10" i="3"/>
  <c r="L10" i="3"/>
  <c r="AP9" i="3"/>
  <c r="AQ9" i="3" s="1"/>
  <c r="M9" i="3"/>
  <c r="L9" i="3"/>
  <c r="AP8" i="3"/>
  <c r="AQ8" i="3" s="1"/>
  <c r="M8" i="3"/>
  <c r="L8" i="3"/>
  <c r="AP7" i="3"/>
  <c r="M7" i="3"/>
  <c r="L7" i="3"/>
  <c r="AP6" i="3"/>
  <c r="M6" i="3"/>
  <c r="L6" i="3"/>
  <c r="AP5" i="3"/>
  <c r="AQ5" i="3" s="1"/>
  <c r="M5" i="3"/>
  <c r="L5" i="3"/>
  <c r="AP4" i="3"/>
  <c r="AQ4" i="3" s="1"/>
  <c r="M4" i="3"/>
  <c r="L4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P3" i="3"/>
  <c r="AQ3" i="3" s="1"/>
  <c r="M3" i="3"/>
  <c r="L3" i="3"/>
  <c r="AP2" i="3"/>
  <c r="AQ2" i="3" s="1"/>
  <c r="M2" i="3"/>
  <c r="L2" i="3"/>
  <c r="S18" i="2"/>
  <c r="T18" i="2" s="1"/>
  <c r="S17" i="2"/>
  <c r="T17" i="2" s="1"/>
  <c r="O17" i="2"/>
  <c r="S16" i="2"/>
  <c r="T16" i="2" s="1"/>
  <c r="S15" i="2"/>
  <c r="T15" i="2" s="1"/>
  <c r="S14" i="2"/>
  <c r="T14" i="2" s="1"/>
  <c r="O14" i="2"/>
  <c r="S13" i="2"/>
  <c r="T13" i="2" s="1"/>
  <c r="S12" i="2"/>
  <c r="T12" i="2" s="1"/>
  <c r="O12" i="2"/>
  <c r="S11" i="2"/>
  <c r="T11" i="2" s="1"/>
  <c r="T19" i="2" s="1"/>
  <c r="S10" i="2"/>
  <c r="T10" i="2" s="1"/>
  <c r="S9" i="2"/>
  <c r="T9" i="2" s="1"/>
  <c r="S8" i="2"/>
  <c r="T8" i="2" s="1"/>
  <c r="AE7" i="2"/>
  <c r="S7" i="2"/>
  <c r="T7" i="2" s="1"/>
  <c r="S6" i="2"/>
  <c r="T6" i="2" s="1"/>
  <c r="S5" i="2"/>
  <c r="T5" i="2" s="1"/>
  <c r="S4" i="2"/>
  <c r="T4" i="2" s="1"/>
  <c r="S3" i="2"/>
  <c r="T3" i="2" s="1"/>
  <c r="B15" i="1"/>
  <c r="B16" i="1" s="1"/>
  <c r="B17" i="1" s="1"/>
  <c r="B18" i="1" s="1"/>
  <c r="B19" i="1" s="1"/>
  <c r="B20" i="1" s="1"/>
  <c r="L20" i="3" l="1"/>
  <c r="L19" i="3"/>
  <c r="L18" i="3"/>
</calcChain>
</file>

<file path=xl/sharedStrings.xml><?xml version="1.0" encoding="utf-8"?>
<sst xmlns="http://schemas.openxmlformats.org/spreadsheetml/2006/main" count="918" uniqueCount="274">
  <si>
    <t>PATIENT INFO</t>
  </si>
  <si>
    <t>STT</t>
  </si>
  <si>
    <t>PID</t>
  </si>
  <si>
    <t>Project ID</t>
  </si>
  <si>
    <t>Tên BN</t>
  </si>
  <si>
    <t>Chẩn đoán</t>
  </si>
  <si>
    <t>Ngày truyền</t>
  </si>
  <si>
    <t>Age</t>
  </si>
  <si>
    <t>Giới tính</t>
  </si>
  <si>
    <t>NHL</t>
  </si>
  <si>
    <t>BN05</t>
  </si>
  <si>
    <t>NTL</t>
  </si>
  <si>
    <t>Male</t>
  </si>
  <si>
    <t>BN08</t>
  </si>
  <si>
    <t>VDT</t>
  </si>
  <si>
    <t>BN11</t>
  </si>
  <si>
    <t>TNG</t>
  </si>
  <si>
    <t>BN13</t>
  </si>
  <si>
    <t>PHH</t>
  </si>
  <si>
    <t>22/5/2024</t>
  </si>
  <si>
    <t>BN14</t>
  </si>
  <si>
    <t>VTTH</t>
  </si>
  <si>
    <t>Female</t>
  </si>
  <si>
    <t>BN15</t>
  </si>
  <si>
    <t>NTH</t>
  </si>
  <si>
    <t>24/7/2024</t>
  </si>
  <si>
    <t>BN16</t>
  </si>
  <si>
    <t>NTTH</t>
  </si>
  <si>
    <t>18/9/2024</t>
  </si>
  <si>
    <t>BN18</t>
  </si>
  <si>
    <t>VTPT</t>
  </si>
  <si>
    <t>13/11/2024</t>
  </si>
  <si>
    <t>ALL</t>
  </si>
  <si>
    <t>BN01</t>
  </si>
  <si>
    <t>QCH</t>
  </si>
  <si>
    <t>25/08/2023</t>
  </si>
  <si>
    <t>BN03</t>
  </si>
  <si>
    <t>HGB</t>
  </si>
  <si>
    <t>BN06</t>
  </si>
  <si>
    <t>NQM</t>
  </si>
  <si>
    <t>25/11/2023</t>
  </si>
  <si>
    <t>BN07</t>
  </si>
  <si>
    <t>NQK</t>
  </si>
  <si>
    <t>27/12/2023</t>
  </si>
  <si>
    <t>BN09</t>
  </si>
  <si>
    <t>DTH</t>
  </si>
  <si>
    <t>BN10</t>
  </si>
  <si>
    <t>VLQT</t>
  </si>
  <si>
    <t>15/03/2024</t>
  </si>
  <si>
    <t>BN12</t>
  </si>
  <si>
    <t>UTHG</t>
  </si>
  <si>
    <t>25/04/2024</t>
  </si>
  <si>
    <t>BN17</t>
  </si>
  <si>
    <t>DTTC</t>
  </si>
  <si>
    <t>Hiệu quả liệu pháp CAR-T</t>
  </si>
  <si>
    <t>Ngày kết thúc NC</t>
  </si>
  <si>
    <t>Mã BN</t>
  </si>
  <si>
    <t>Chẩn đoán trước điều trị</t>
  </si>
  <si>
    <t>Line</t>
  </si>
  <si>
    <t>Liều truyền (million cells/kg)</t>
  </si>
  <si>
    <t>Đáp ứng D30</t>
  </si>
  <si>
    <t>Đáp ứng D90</t>
  </si>
  <si>
    <t xml:space="preserve"> Đáp ứng D180</t>
  </si>
  <si>
    <t>Tình trạng hiện tại (May 2025)</t>
  </si>
  <si>
    <t>Ngày tái phát (dd/mm/yy)</t>
  </si>
  <si>
    <t>Số ngày tính đến ngày tái phát</t>
  </si>
  <si>
    <t>Sống (hiện tại)</t>
  </si>
  <si>
    <t xml:space="preserve">Sống (6 tháng) </t>
  </si>
  <si>
    <t>Thời điểm tử vong</t>
  </si>
  <si>
    <t xml:space="preserve">Thời gian theo dõi (ngày) </t>
  </si>
  <si>
    <t xml:space="preserve">Thời gian theo dõi (tháng) </t>
  </si>
  <si>
    <t>MRD trước điều trị</t>
  </si>
  <si>
    <t>MRD 1 tháng</t>
  </si>
  <si>
    <t>MRD 3 tháng</t>
  </si>
  <si>
    <t>MRD 6 tháng</t>
  </si>
  <si>
    <t>PET/CT trước điều trị</t>
  </si>
  <si>
    <t>PET/CT sau điều trị</t>
  </si>
  <si>
    <t>Baseline IgG (mg/dL)</t>
  </si>
  <si>
    <t>Xét nghiệm IgG (mg/ dL) (trên 700 là hồi phục)</t>
  </si>
  <si>
    <t>Ngày hồi phục IgG</t>
  </si>
  <si>
    <t>Hồi phục IgG</t>
  </si>
  <si>
    <t>Thời gian hồi phục IgG</t>
  </si>
  <si>
    <t xml:space="preserve">Blast trước điều trị </t>
  </si>
  <si>
    <t>refact</t>
  </si>
  <si>
    <t>NA</t>
  </si>
  <si>
    <t>No response</t>
  </si>
  <si>
    <t>tử vong (19-Jun-2024 do covid)</t>
  </si>
  <si>
    <t>không (do covid)</t>
  </si>
  <si>
    <t>có</t>
  </si>
  <si>
    <t>117 x 81 mm</t>
  </si>
  <si>
    <t>Hình ảnh một số hạch ở khoang sau phúc mạc, mạc treo ruột, trong đó khối hạch lớn nhất ở rễ mạc treo có kích thước 45 x 32 mm, tăng chuyển hóa FDG với SUVmax: 18</t>
  </si>
  <si>
    <t>12/12/2023: 450
 25/12/2023: 361
 2/1/2024: 675
 25/1/2024: 380
 9/5/2024: 120</t>
  </si>
  <si>
    <t>không</t>
  </si>
  <si>
    <t>relap</t>
  </si>
  <si>
    <t>CR</t>
  </si>
  <si>
    <t>20/8/2024: 314
 12/4/2024: 512
 12/3/2024: 598
 16/2/2024: 618</t>
  </si>
  <si>
    <t>Chưa phát hiện hình ảnh hạch to, tăng chuyển hóa FDG nghi ngờ lymphoma ở trên và dưới hoành</t>
  </si>
  <si>
    <t>30/9/2024: 535
 8/7/2024: 586
 7/6/2024: 655
 3/5/2024: 783</t>
  </si>
  <si>
    <t>Không thấy tổn thương tăng chuyển hóa FDG nghi ngờ lymphoma tại hạch và ngoài hạch trên xạ hình PET/CT toàn thân (Deauville score 1), biểu hiện bệnh đáp ứng hoàn toàn với điều trị về mặt chuyển hóa</t>
  </si>
  <si>
    <t>18/11/2024: 650
 21/8/2024: 733
 22/7/2024: 815
 22/6/2024: 1009</t>
  </si>
  <si>
    <t>hình ảnh dày thành bờ cong nhỏ dạ dày kích thước 8x19mm, tăng hấp thu FDG (SUVmax 3.1). Chưa phát hiện tăng hấp thu FDG tại ví trí khác</t>
  </si>
  <si>
    <t>Chưa phát hiện tổn thương tăng chuyển hóa FDG nghi ngờ lymphoma trên xạ hình PET/CT toàn thân (Deauville score: 1), biểu hiện bệnh đáp ứng hoàn toàn về mặt chuyển hóa với điều trị</t>
  </si>
  <si>
    <t>30/12/2024: 1170
 30/9/2024: 1096
 30/8/2024: 1213
 31/7/2024: 1245</t>
  </si>
  <si>
    <t>Hình ảnh vài hạch ở góc hàm và phía trong cơ ức đòn chum (nhóm IIB) hai bên, nhóm V-B hai bên, nhóm IV-B trái, hạch lớn nhất kích thước 12x15mm (SUVmax 17)
 Hình ảnh đám tổn thưng thâm nhiễm trung thất trước kích thước 23x28mm, tăng nhẹ chuyển hóa FDG (SUVmax 4.13)</t>
  </si>
  <si>
    <t>13/1/2025: 308
 24/10/2024: 310
 24/9/2024: 398
 23/8/2024: 436</t>
  </si>
  <si>
    <t>relap/ refac</t>
  </si>
  <si>
    <t>4/3/2025: 260
 18/11/2024: 450
 18/10/2024: 729</t>
  </si>
  <si>
    <t>Chưa phát hiện hình ảnh tăng chuyển hóa FDG khu trú bất thường nghi ngờ lymphoma trên xạ hình PET/CT toàn thân (Deauville score: 1), biểu hiện bệnh đáp ứng hoàn toàn về mặt chuyển hóa với điều trị.</t>
  </si>
  <si>
    <t>Chưa phát hiện hình ảnh tăng chuyển hóa FDG khu trú bất thường nghi ngờ lymphoma trên xạ hình PET/CT toàn thân (Deauville score: 1), biểu hiện bệnh đáp ứng hoàn toàn về mặt chuyển hóa với điều trị</t>
  </si>
  <si>
    <t>14/5/2025: 221
 11/2/2025: 297
 10/1/2025: 350
 13/12/2024: 393</t>
  </si>
  <si>
    <t>22/11/2023: 355
 25/12/2023
 21/2/2024: 271
 27/8/2024: 277
 15/3/2025: 460</t>
  </si>
  <si>
    <t>BN02</t>
  </si>
  <si>
    <t>tái phát</t>
  </si>
  <si>
    <t>_x0008_tái phát</t>
  </si>
  <si>
    <t>tử vong (25-Feb-2025 bệnh tiến triển)</t>
  </si>
  <si>
    <t>Bệnh tái phát</t>
  </si>
  <si>
    <t>5/12/2023: 434
 3/1/2024: 286</t>
  </si>
  <si>
    <t>24/1/2024: 301
 27/2/2024: 397
 28/3/2024: 203
 30/5/2024: 154
 15/1/2025: &lt;108</t>
  </si>
  <si>
    <t>tử vong (11-Apr-2024 bệnh tiến triển)</t>
  </si>
  <si>
    <t>không (bệnh tiến triển)</t>
  </si>
  <si>
    <t>25/1/2024: 647
 26/2/204: 493
 19/3/2024: 378</t>
  </si>
  <si>
    <t>16/9/2024: 544
 6/6/2024: 674
 6/5/2024: 724
 4/4/2024: 833</t>
  </si>
  <si>
    <t>27/3/2025: 596
 17/9/2024: 345
 14/5/2024: 435
 15/4/2024: 352</t>
  </si>
  <si>
    <t xml:space="preserve">tái phát </t>
  </si>
  <si>
    <t>tử vong (10-Aug-2024 bệnh tiến triển)</t>
  </si>
  <si>
    <t>24/6/2024: 569
 22/5/2024: 648</t>
  </si>
  <si>
    <t>5/4/2025: 336
 13/12/2024: 646
 8/11/2024: 727</t>
  </si>
  <si>
    <t>Efficacy</t>
  </si>
  <si>
    <t>Patient number</t>
  </si>
  <si>
    <t>Tumor size</t>
  </si>
  <si>
    <t>Blast tuỷ trước điều trị</t>
  </si>
  <si>
    <t>CART cell peak (cells/µl)</t>
  </si>
  <si>
    <t>Follow-up duration (months)</t>
  </si>
  <si>
    <t>Response at D30</t>
  </si>
  <si>
    <t>Response at D90</t>
  </si>
  <si>
    <t>Response at D180</t>
  </si>
  <si>
    <t>Outcome of last visit</t>
  </si>
  <si>
    <t>NHL
 Số bệnh nhân (%)</t>
  </si>
  <si>
    <t>ALL  Số bệnh nhân (%)</t>
  </si>
  <si>
    <t>Day 90
 (n=8)</t>
  </si>
  <si>
    <t>Day 180
 (n=8)</t>
  </si>
  <si>
    <t>Last follow up (n=8)</t>
  </si>
  <si>
    <t>Day 30 (n=8)</t>
  </si>
  <si>
    <t>Day 90 (n=8)</t>
  </si>
  <si>
    <t>7 (87.50%)</t>
  </si>
  <si>
    <t>8 (100%)</t>
  </si>
  <si>
    <t>6  (75%)</t>
  </si>
  <si>
    <t>5 (62,50%)</t>
  </si>
  <si>
    <t>Tử vong</t>
  </si>
  <si>
    <t>PR</t>
  </si>
  <si>
    <t>0 (0%)</t>
  </si>
  <si>
    <t>No Response</t>
  </si>
  <si>
    <t>1 (12.50%)</t>
  </si>
  <si>
    <t>Relapse</t>
  </si>
  <si>
    <t>2 (25%)</t>
  </si>
  <si>
    <t>Death</t>
  </si>
  <si>
    <t>1 (12,5%)</t>
  </si>
  <si>
    <t>3 (37,50%)</t>
  </si>
  <si>
    <t>Nil</t>
  </si>
  <si>
    <t>8x19mm</t>
  </si>
  <si>
    <t xml:space="preserve">12x15mm
 </t>
  </si>
  <si>
    <t>Họ tên</t>
  </si>
  <si>
    <t>Thời gian nhập viện</t>
  </si>
  <si>
    <t>Thời gian truyền tế bào CAR-T</t>
  </si>
  <si>
    <t>Thời gian ra viện</t>
  </si>
  <si>
    <t>Thời gian ký ICF</t>
  </si>
  <si>
    <t>Thời gian nằm viện (tổng)</t>
  </si>
  <si>
    <t>Thời gian nằm viện sau điều trị với tế bào CAR-T</t>
  </si>
  <si>
    <t>chẩn đoán trước điều trị</t>
  </si>
  <si>
    <t>Blast tủy trước điều trị</t>
  </si>
  <si>
    <t>Blast tủy 1 tháng</t>
  </si>
  <si>
    <t>Blast tủy 3 tháng</t>
  </si>
  <si>
    <t>Blast tủy 6 tháng</t>
  </si>
  <si>
    <t>Tuổi</t>
  </si>
  <si>
    <t>CRS grade</t>
  </si>
  <si>
    <t>Ngày phát hiện CRS</t>
  </si>
  <si>
    <t>Thời gian diễn ra CRS</t>
  </si>
  <si>
    <t>IL6 trước truyền CAR-T</t>
  </si>
  <si>
    <t>IL6 khi bắt đầu CRS</t>
  </si>
  <si>
    <t>IL6 trước khi dùng Toci</t>
  </si>
  <si>
    <t>IL6 cao nhất</t>
  </si>
  <si>
    <t>IL6 khi kết thúc CRS</t>
  </si>
  <si>
    <t>Nhiệt độ</t>
  </si>
  <si>
    <t>ICANS grade</t>
  </si>
  <si>
    <t>Tocilizumab</t>
  </si>
  <si>
    <t>Tocilizumab dose</t>
  </si>
  <si>
    <t>Thời điểm dùng Toci sau CRS (h)</t>
  </si>
  <si>
    <t>Steroid</t>
  </si>
  <si>
    <t>Đáp ứng 1 tháng</t>
  </si>
  <si>
    <t>Đáp ứng hiện tại</t>
  </si>
  <si>
    <t>Thời điểm bệnh tái phát</t>
  </si>
  <si>
    <t>Thời gian kết thúc điều trị bệnh nhân đáp ứng hoàn toàn</t>
  </si>
  <si>
    <t>Sống thêm tổng thể (OS) sau khi truyền tế bào CD19 CAR-T</t>
  </si>
  <si>
    <t>25/8/23</t>
  </si>
  <si>
    <t>25/9/2023</t>
  </si>
  <si>
    <t>D6</t>
  </si>
  <si>
    <t>2 ngày</t>
  </si>
  <si>
    <t>&lt; 1.50</t>
  </si>
  <si>
    <t>Có</t>
  </si>
  <si>
    <t>20/9/2023</t>
  </si>
  <si>
    <t>D1</t>
  </si>
  <si>
    <t>1 ngày</t>
  </si>
  <si>
    <t>die</t>
  </si>
  <si>
    <t>15/11/2023</t>
  </si>
  <si>
    <t>25/11/23</t>
  </si>
  <si>
    <t>18/12/2023</t>
  </si>
  <si>
    <t>D5</t>
  </si>
  <si>
    <t>3 ngày</t>
  </si>
  <si>
    <t>13/11/2023</t>
  </si>
  <si>
    <t>27/12/23</t>
  </si>
  <si>
    <t>26/1/2024</t>
  </si>
  <si>
    <t>D0</t>
  </si>
  <si>
    <t>6 ngày</t>
  </si>
  <si>
    <t>19/3/2024</t>
  </si>
  <si>
    <t>11/4/2024 (do bệnh tiến triển)</t>
  </si>
  <si>
    <t>21/2/2024</t>
  </si>
  <si>
    <t>27/3/2024</t>
  </si>
  <si>
    <t>15/03/24</t>
  </si>
  <si>
    <t>17/4/2024</t>
  </si>
  <si>
    <t>Gen bcr âm tính</t>
  </si>
  <si>
    <t>15/4/2024</t>
  </si>
  <si>
    <t>24/04/24</t>
  </si>
  <si>
    <t>29/8/2024</t>
  </si>
  <si>
    <t>13/12/2024</t>
  </si>
  <si>
    <t>5 ngày</t>
  </si>
  <si>
    <t>Hình ảnh một số hạch vùng cổ thấp và hố thượng đòn trái, tăng chuyển hóa FDG (SUVmax: 9.4), hạch lớn nhất có kích thước 16.8 x 33 mm, mới xuất hiện
 Hình ảnh một số hạch trung thất, trạm hạch vú trong hai bên, tăng chuyển hóa FDG (SUVmax: 6.2), mới xuất hiện, hạch lớn nhất ở cạnh quai động mạch chủ có kích thước 9 x 11 mm
 Hình ảnh nhiều hạch ở khoang sau phúc mạc, trong ổ bụng và tiểu khung, tăng chuyển hóa FDG (SUVmax: 17), khối hạch lớn nhất ở vùng rễ mạc treo có kích thước 117 x 81 mm, tăng số lượng, kích thước và mức độ chuyển hóa so với PET/CT trước.
 Hình ảnh nốt ở phúc mạc bao gan có kích thước 9 x 12 mm, tăng chuyển hóa FDG (SUVmax: 12), mới xuất hiện.
 Hình ảnh hạch ở vùng bẹn hai bên, tăng chuyển hóa FDG (SUVmax: 11.6), hạch lớn nhất có kích thước 12 x 14 mm, mới xuất hiện</t>
  </si>
  <si>
    <t>10 ngày</t>
  </si>
  <si>
    <t>19/6/2024 (do covid)</t>
  </si>
  <si>
    <t>25/3/2024</t>
  </si>
  <si>
    <t>24/4/2024</t>
  </si>
  <si>
    <t>13/5/2024</t>
  </si>
  <si>
    <t>22/5/24</t>
  </si>
  <si>
    <t>5 (after HSTC)</t>
  </si>
  <si>
    <t>21/6/2024</t>
  </si>
  <si>
    <t>22/7/2024</t>
  </si>
  <si>
    <t>15/7/2024</t>
  </si>
  <si>
    <t>24/7/24</t>
  </si>
  <si>
    <t>14/8/2024</t>
  </si>
  <si>
    <t>7 ngày</t>
  </si>
  <si>
    <t>18/9/24</t>
  </si>
  <si>
    <t>13/11/24</t>
  </si>
  <si>
    <t>B cell and CAR T cells in PB and BM</t>
  </si>
  <si>
    <t>Patient information</t>
  </si>
  <si>
    <t>CAR T expansion in PB</t>
  </si>
  <si>
    <t>CAR T expansion in BM</t>
  </si>
  <si>
    <t>B cell depletion in PB (cells/ml)</t>
  </si>
  <si>
    <t>Frequency of B cells in PB (%)</t>
  </si>
  <si>
    <t>CAR T cell expansion in PB (cells/µl)</t>
  </si>
  <si>
    <t>Frequency of CAR T cells in PB (%)</t>
  </si>
  <si>
    <t>B cell depletion in BM (cells/ml)</t>
  </si>
  <si>
    <t>Frequency of B cells in BM (%)</t>
  </si>
  <si>
    <t>CAR T cell expansion in BM (cells/µl)</t>
  </si>
  <si>
    <t>Frequency of CAR T cells in BM (%)</t>
  </si>
  <si>
    <t>CAR T cell expansion in PB (cells/ml)</t>
  </si>
  <si>
    <t>Patient</t>
  </si>
  <si>
    <t>Diagnosis</t>
  </si>
  <si>
    <t>Prior apheresis</t>
  </si>
  <si>
    <t>Before CAR T infusion</t>
  </si>
  <si>
    <t>Day 3/4</t>
  </si>
  <si>
    <t>Day 7+/-1</t>
  </si>
  <si>
    <t>Day 10+/-1</t>
  </si>
  <si>
    <t>Day 14+/-2</t>
  </si>
  <si>
    <t>Day 21+/-2</t>
  </si>
  <si>
    <t>Day 30+/-2</t>
  </si>
  <si>
    <t>Day 60+/-2</t>
  </si>
  <si>
    <t>Day 90+/-14</t>
  </si>
  <si>
    <t>Day 180+/-14</t>
  </si>
  <si>
    <t>Last visit</t>
  </si>
  <si>
    <t>SXTN 3</t>
  </si>
  <si>
    <t>TBC</t>
  </si>
  <si>
    <t>DTT</t>
  </si>
  <si>
    <t>VBN</t>
  </si>
  <si>
    <t>B cell depletion in peripheral blood (PB)</t>
  </si>
  <si>
    <t>B cell depletion in bone marrow 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</si>
</sst>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mm/dd/yyyy"/>
    <numFmt numFmtId="165" formatCode="d&quot;-&quot;mmm&quot;-&quot;yyyy"/>
    <numFmt numFmtId="166" formatCode="0.0"/>
    <numFmt numFmtId="167" formatCode="d\-mmm\-yyyy"/>
    <numFmt numFmtId="168" formatCode="0.0%"/>
    <numFmt numFmtId="169" formatCode="m/d/yy"/>
  </numFmts>
  <fonts count="39">
    <font>
      <sz val="11"/>
      <color theme="1"/>
      <name val="Aptos Narrow"/>
      <family val="2"/>
      <scheme val="minor"/>
    </font>
    <font>
      <b/>
      <sz val="2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5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Arial"/>
      <family val="2"/>
    </font>
    <font>
      <sz val="12"/>
      <color rgb="FF000000"/>
      <name val="&quot;Times New Roman&quot;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b/>
      <sz val="2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&quot;Times New Roman&quot;"/>
    </font>
    <font>
      <sz val="12"/>
      <color rgb="FF000000"/>
      <name val="Times New Roman"/>
      <family val="1"/>
    </font>
    <font>
      <sz val="12"/>
      <color rgb="FF222222"/>
      <name val="Arial"/>
      <family val="2"/>
    </font>
    <font>
      <sz val="11"/>
      <color rgb="FF333333"/>
      <name val="&quot;Times New Roman&quot;"/>
    </font>
    <font>
      <b/>
      <sz val="10"/>
      <color theme="1"/>
      <name val="Times New Roman"/>
      <family val="1"/>
    </font>
    <font>
      <b/>
      <sz val="11"/>
      <color rgb="FF000000"/>
      <name val="&quot;Times New Roman&quot;"/>
    </font>
    <font>
      <sz val="12"/>
      <color rgb="FFCD5937"/>
      <name val="Arial"/>
      <family val="2"/>
    </font>
    <font>
      <sz val="12"/>
      <color rgb="FFC55A11"/>
      <name val="Arial"/>
      <family val="2"/>
    </font>
    <font>
      <b/>
      <sz val="12"/>
      <color rgb="FF222222"/>
      <name val="Arial"/>
      <family val="2"/>
    </font>
    <font>
      <b/>
      <sz val="12"/>
      <color rgb="FF1E53A3"/>
      <name val="Arial"/>
      <family val="2"/>
    </font>
    <font>
      <sz val="13"/>
      <color rgb="FF000000"/>
      <name val="&quot;Times New Roman&quot;"/>
    </font>
    <font>
      <b/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000000"/>
      <name val="&quot;Times New Roman&quot;"/>
    </font>
    <font>
      <b/>
      <sz val="12"/>
      <color theme="1"/>
      <name val="&quot;Times New Roman&quot;"/>
    </font>
    <font>
      <sz val="18"/>
      <color theme="1"/>
      <name val="Arial"/>
      <family val="2"/>
    </font>
    <font>
      <sz val="18"/>
      <color theme="1"/>
      <name val="Times New Roman"/>
      <family val="1"/>
    </font>
    <font>
      <sz val="12"/>
      <color theme="1"/>
      <name val="&quot;Times New Roman&quot;"/>
    </font>
    <font>
      <sz val="12"/>
      <color rgb="FF222222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333333"/>
      <name val="Times New Roman"/>
      <family val="1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757171"/>
        <bgColor rgb="FF757171"/>
      </patternFill>
    </fill>
    <fill>
      <patternFill patternType="solid">
        <fgColor rgb="FFFCE5CD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165" fontId="4" fillId="0" borderId="3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166" fontId="1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165" fontId="16" fillId="0" borderId="2" xfId="0" applyNumberFormat="1" applyFont="1" applyBorder="1" applyAlignment="1">
      <alignment horizontal="left" vertical="center"/>
    </xf>
    <xf numFmtId="2" fontId="14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5" fillId="0" borderId="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7" fillId="3" borderId="0" xfId="0" applyNumberFormat="1" applyFont="1" applyFill="1" applyAlignment="1">
      <alignment vertical="center"/>
    </xf>
    <xf numFmtId="9" fontId="15" fillId="3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9" fontId="15" fillId="3" borderId="3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22" fillId="3" borderId="0" xfId="0" applyFont="1" applyFill="1" applyAlignment="1">
      <alignment vertical="center"/>
    </xf>
    <xf numFmtId="167" fontId="4" fillId="0" borderId="2" xfId="0" applyNumberFormat="1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3" fillId="3" borderId="0" xfId="0" applyFont="1" applyFill="1" applyAlignment="1">
      <alignment vertical="center"/>
    </xf>
    <xf numFmtId="14" fontId="17" fillId="3" borderId="0" xfId="0" applyNumberFormat="1" applyFont="1" applyFill="1" applyAlignment="1">
      <alignment vertical="center"/>
    </xf>
    <xf numFmtId="0" fontId="17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66" fontId="17" fillId="3" borderId="0" xfId="0" applyNumberFormat="1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25" fillId="0" borderId="5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8" borderId="2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6" fontId="15" fillId="3" borderId="9" xfId="0" applyNumberFormat="1" applyFont="1" applyFill="1" applyBorder="1" applyAlignment="1">
      <alignment horizontal="center" vertical="center"/>
    </xf>
    <xf numFmtId="166" fontId="6" fillId="3" borderId="9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9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10" fontId="30" fillId="0" borderId="0" xfId="0" applyNumberFormat="1" applyFont="1" applyAlignment="1">
      <alignment vertical="center"/>
    </xf>
    <xf numFmtId="168" fontId="30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30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65" fontId="10" fillId="0" borderId="0" xfId="0" applyNumberFormat="1" applyFont="1" applyAlignment="1">
      <alignment vertical="center"/>
    </xf>
    <xf numFmtId="0" fontId="15" fillId="3" borderId="2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166" fontId="15" fillId="3" borderId="9" xfId="0" applyNumberFormat="1" applyFont="1" applyFill="1" applyBorder="1" applyAlignment="1">
      <alignment horizontal="center" vertical="center" wrapText="1"/>
    </xf>
    <xf numFmtId="166" fontId="15" fillId="3" borderId="2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vertical="center"/>
    </xf>
    <xf numFmtId="165" fontId="33" fillId="3" borderId="0" xfId="0" applyNumberFormat="1" applyFont="1" applyFill="1" applyAlignment="1">
      <alignment vertical="center"/>
    </xf>
    <xf numFmtId="167" fontId="10" fillId="0" borderId="0" xfId="0" applyNumberFormat="1" applyFont="1" applyAlignment="1">
      <alignment vertical="center"/>
    </xf>
    <xf numFmtId="0" fontId="34" fillId="3" borderId="2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14" fillId="5" borderId="5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vertical="center" wrapText="1"/>
    </xf>
    <xf numFmtId="0" fontId="14" fillId="3" borderId="2" xfId="0" applyFont="1" applyFill="1" applyBorder="1" applyAlignment="1">
      <alignment horizontal="right" vertical="center"/>
    </xf>
    <xf numFmtId="0" fontId="14" fillId="3" borderId="3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vertical="center"/>
    </xf>
    <xf numFmtId="169" fontId="14" fillId="3" borderId="9" xfId="0" applyNumberFormat="1" applyFont="1" applyFill="1" applyBorder="1" applyAlignment="1">
      <alignment horizontal="left" vertical="center"/>
    </xf>
    <xf numFmtId="0" fontId="35" fillId="3" borderId="2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left" vertical="center"/>
    </xf>
    <xf numFmtId="165" fontId="14" fillId="3" borderId="9" xfId="0" applyNumberFormat="1" applyFont="1" applyFill="1" applyBorder="1" applyAlignment="1">
      <alignment horizontal="left" vertical="center"/>
    </xf>
    <xf numFmtId="3" fontId="14" fillId="3" borderId="9" xfId="0" applyNumberFormat="1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right" vertical="center"/>
    </xf>
    <xf numFmtId="9" fontId="14" fillId="3" borderId="9" xfId="0" applyNumberFormat="1" applyFont="1" applyFill="1" applyBorder="1" applyAlignment="1">
      <alignment horizontal="right" vertical="center"/>
    </xf>
    <xf numFmtId="0" fontId="14" fillId="5" borderId="9" xfId="0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left" vertical="center"/>
    </xf>
    <xf numFmtId="0" fontId="14" fillId="5" borderId="9" xfId="0" applyFont="1" applyFill="1" applyBorder="1" applyAlignment="1">
      <alignment vertical="center"/>
    </xf>
    <xf numFmtId="0" fontId="14" fillId="9" borderId="9" xfId="0" applyFont="1" applyFill="1" applyBorder="1" applyAlignment="1">
      <alignment vertical="center"/>
    </xf>
    <xf numFmtId="166" fontId="14" fillId="9" borderId="9" xfId="0" applyNumberFormat="1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14" fillId="10" borderId="9" xfId="0" applyFont="1" applyFill="1" applyBorder="1" applyAlignment="1">
      <alignment vertical="center"/>
    </xf>
    <xf numFmtId="169" fontId="35" fillId="0" borderId="2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14" fillId="9" borderId="3" xfId="0" applyFont="1" applyFill="1" applyBorder="1" applyAlignment="1">
      <alignment horizontal="right" vertical="center"/>
    </xf>
    <xf numFmtId="0" fontId="4" fillId="9" borderId="2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left" vertical="center"/>
    </xf>
    <xf numFmtId="0" fontId="35" fillId="9" borderId="2" xfId="0" applyFont="1" applyFill="1" applyBorder="1" applyAlignment="1">
      <alignment horizontal="center" vertical="center"/>
    </xf>
    <xf numFmtId="165" fontId="14" fillId="9" borderId="9" xfId="0" applyNumberFormat="1" applyFont="1" applyFill="1" applyBorder="1" applyAlignment="1">
      <alignment horizontal="left" vertical="center"/>
    </xf>
    <xf numFmtId="3" fontId="14" fillId="9" borderId="9" xfId="0" applyNumberFormat="1" applyFont="1" applyFill="1" applyBorder="1" applyAlignment="1">
      <alignment horizontal="left" vertical="center"/>
    </xf>
    <xf numFmtId="0" fontId="14" fillId="9" borderId="9" xfId="0" applyFont="1" applyFill="1" applyBorder="1" applyAlignment="1">
      <alignment horizontal="right" vertical="center"/>
    </xf>
    <xf numFmtId="9" fontId="14" fillId="9" borderId="9" xfId="0" applyNumberFormat="1" applyFont="1" applyFill="1" applyBorder="1" applyAlignment="1">
      <alignment horizontal="right" vertical="center"/>
    </xf>
    <xf numFmtId="10" fontId="14" fillId="9" borderId="9" xfId="0" applyNumberFormat="1" applyFont="1" applyFill="1" applyBorder="1" applyAlignment="1">
      <alignment vertical="center"/>
    </xf>
    <xf numFmtId="0" fontId="13" fillId="9" borderId="9" xfId="0" applyFont="1" applyFill="1" applyBorder="1" applyAlignment="1">
      <alignment horizontal="left" vertical="center"/>
    </xf>
    <xf numFmtId="0" fontId="14" fillId="9" borderId="0" xfId="0" applyFont="1" applyFill="1" applyAlignment="1">
      <alignment vertical="center"/>
    </xf>
    <xf numFmtId="0" fontId="14" fillId="0" borderId="3" xfId="0" applyFont="1" applyBorder="1" applyAlignment="1">
      <alignment horizontal="right" vertical="center"/>
    </xf>
    <xf numFmtId="0" fontId="14" fillId="0" borderId="9" xfId="0" applyFont="1" applyBorder="1" applyAlignment="1">
      <alignment vertical="center"/>
    </xf>
    <xf numFmtId="0" fontId="14" fillId="0" borderId="9" xfId="0" applyFont="1" applyBorder="1" applyAlignment="1">
      <alignment horizontal="left" vertical="center"/>
    </xf>
    <xf numFmtId="165" fontId="14" fillId="0" borderId="9" xfId="0" applyNumberFormat="1" applyFont="1" applyBorder="1" applyAlignment="1">
      <alignment horizontal="left" vertical="center"/>
    </xf>
    <xf numFmtId="3" fontId="14" fillId="0" borderId="9" xfId="0" applyNumberFormat="1" applyFont="1" applyBorder="1" applyAlignment="1">
      <alignment horizontal="left" vertical="center"/>
    </xf>
    <xf numFmtId="0" fontId="14" fillId="0" borderId="9" xfId="0" applyFont="1" applyBorder="1" applyAlignment="1">
      <alignment horizontal="right" vertical="center"/>
    </xf>
    <xf numFmtId="9" fontId="14" fillId="0" borderId="9" xfId="0" applyNumberFormat="1" applyFont="1" applyBorder="1" applyAlignment="1">
      <alignment horizontal="right" vertical="center"/>
    </xf>
    <xf numFmtId="0" fontId="13" fillId="0" borderId="9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169" fontId="14" fillId="0" borderId="9" xfId="0" applyNumberFormat="1" applyFont="1" applyBorder="1" applyAlignment="1">
      <alignment horizontal="left" vertical="center"/>
    </xf>
    <xf numFmtId="0" fontId="16" fillId="9" borderId="9" xfId="0" applyFont="1" applyFill="1" applyBorder="1" applyAlignment="1">
      <alignment horizontal="left" vertical="center"/>
    </xf>
    <xf numFmtId="165" fontId="16" fillId="9" borderId="9" xfId="0" applyNumberFormat="1" applyFont="1" applyFill="1" applyBorder="1" applyAlignment="1">
      <alignment horizontal="left" vertical="center"/>
    </xf>
    <xf numFmtId="169" fontId="14" fillId="9" borderId="9" xfId="0" applyNumberFormat="1" applyFont="1" applyFill="1" applyBorder="1" applyAlignment="1">
      <alignment horizontal="left" vertical="center"/>
    </xf>
    <xf numFmtId="169" fontId="35" fillId="9" borderId="2" xfId="0" applyNumberFormat="1" applyFont="1" applyFill="1" applyBorder="1" applyAlignment="1">
      <alignment horizontal="center" vertical="center"/>
    </xf>
    <xf numFmtId="169" fontId="36" fillId="0" borderId="2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169" fontId="16" fillId="0" borderId="9" xfId="0" applyNumberFormat="1" applyFont="1" applyBorder="1" applyAlignment="1">
      <alignment horizontal="left" vertical="center"/>
    </xf>
    <xf numFmtId="165" fontId="16" fillId="0" borderId="9" xfId="0" applyNumberFormat="1" applyFont="1" applyBorder="1" applyAlignment="1">
      <alignment horizontal="left" vertical="center"/>
    </xf>
    <xf numFmtId="0" fontId="14" fillId="11" borderId="3" xfId="0" applyFont="1" applyFill="1" applyBorder="1" applyAlignment="1">
      <alignment horizontal="right" vertical="center"/>
    </xf>
    <xf numFmtId="0" fontId="4" fillId="11" borderId="2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vertical="center"/>
    </xf>
    <xf numFmtId="169" fontId="14" fillId="11" borderId="9" xfId="0" applyNumberFormat="1" applyFont="1" applyFill="1" applyBorder="1" applyAlignment="1">
      <alignment horizontal="left" vertical="center"/>
    </xf>
    <xf numFmtId="0" fontId="35" fillId="11" borderId="2" xfId="0" applyFont="1" applyFill="1" applyBorder="1" applyAlignment="1">
      <alignment horizontal="center" vertical="center"/>
    </xf>
    <xf numFmtId="165" fontId="14" fillId="11" borderId="9" xfId="0" applyNumberFormat="1" applyFont="1" applyFill="1" applyBorder="1" applyAlignment="1">
      <alignment horizontal="left" vertical="center"/>
    </xf>
    <xf numFmtId="3" fontId="14" fillId="11" borderId="9" xfId="0" applyNumberFormat="1" applyFont="1" applyFill="1" applyBorder="1" applyAlignment="1">
      <alignment horizontal="left" vertical="center"/>
    </xf>
    <xf numFmtId="0" fontId="14" fillId="11" borderId="9" xfId="0" applyFont="1" applyFill="1" applyBorder="1" applyAlignment="1">
      <alignment horizontal="right" vertical="center"/>
    </xf>
    <xf numFmtId="0" fontId="13" fillId="11" borderId="9" xfId="0" applyFont="1" applyFill="1" applyBorder="1" applyAlignment="1">
      <alignment horizontal="left" vertical="center"/>
    </xf>
    <xf numFmtId="0" fontId="14" fillId="11" borderId="0" xfId="0" applyFont="1" applyFill="1" applyAlignment="1">
      <alignment vertical="center"/>
    </xf>
    <xf numFmtId="0" fontId="37" fillId="0" borderId="9" xfId="0" applyFont="1" applyBorder="1" applyAlignment="1">
      <alignment vertical="center"/>
    </xf>
    <xf numFmtId="3" fontId="10" fillId="0" borderId="0" xfId="0" applyNumberFormat="1" applyFont="1" applyAlignment="1">
      <alignment horizontal="left" vertical="center"/>
    </xf>
    <xf numFmtId="166" fontId="10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2" fontId="38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14" fillId="0" borderId="2" xfId="0" applyFont="1" applyBorder="1" applyAlignment="1">
      <alignment horizontal="right" vertical="center"/>
    </xf>
    <xf numFmtId="0" fontId="38" fillId="0" borderId="0" xfId="0" applyFont="1" applyAlignment="1">
      <alignment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7" fillId="0" borderId="4" xfId="0" applyFont="1" applyBorder="1"/>
    <xf numFmtId="0" fontId="7" fillId="0" borderId="3" xfId="0" applyFont="1" applyBorder="1"/>
    <xf numFmtId="0" fontId="25" fillId="0" borderId="7" xfId="0" applyFont="1" applyBorder="1" applyAlignment="1">
      <alignment vertical="center"/>
    </xf>
    <xf numFmtId="0" fontId="7" fillId="0" borderId="8" xfId="0" applyFont="1" applyBorder="1"/>
    <xf numFmtId="0" fontId="7" fillId="0" borderId="9" xfId="0" applyFont="1" applyBorder="1"/>
    <xf numFmtId="0" fontId="9" fillId="7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28" fillId="8" borderId="6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5" xfId="0" applyFont="1" applyBorder="1"/>
  </cellXfs>
  <cellStyles count="1">
    <cellStyle name="Normal" xfId="0" builtinId="0"/>
  </cellStyles>
  <dxfs count="2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0" defaultTableStyle="TableStyleMedium2" defaultPivotStyle="PivotStyleLight16">
    <tableStyle name="Hiệu quảSurvival-style" pivot="0" count="2" xr9:uid="{CF790B86-01EE-4530-9538-5C2486FEE511}">
      <tableStyleElement type="firstRowStripe" dxfId="21"/>
      <tableStyleElement type="secondRowStripe" dxfId="20"/>
    </tableStyle>
    <tableStyle name="Hiệu quảSurvival-style 2" pivot="0" count="2" xr9:uid="{29A0E276-D625-4DB9-B87A-98FC796D0B23}">
      <tableStyleElement type="firstRowStripe" dxfId="19"/>
      <tableStyleElement type="secondRowStripe" dxfId="18"/>
    </tableStyle>
    <tableStyle name="Hiệu quảSurvival-style 3" pivot="0" count="2" xr9:uid="{45FA2F85-2224-4114-8121-E44428D09467}">
      <tableStyleElement type="firstRowStripe" dxfId="17"/>
      <tableStyleElement type="secondRowStripe" dxfId="16"/>
    </tableStyle>
    <tableStyle name="Hiệu quảSurvival-style 4" pivot="0" count="2" xr9:uid="{DCEDD6E4-07A7-4D0B-A766-153E684875AD}">
      <tableStyleElement type="firstRowStripe" dxfId="15"/>
      <tableStyleElement type="secondRowStripe" dxfId="14"/>
    </tableStyle>
    <tableStyle name="Hiệu quảSurvival-style 5" pivot="0" count="2" xr9:uid="{DD51079E-ABFC-409A-9226-8446356EF696}">
      <tableStyleElement type="firstRowStripe" dxfId="13"/>
      <tableStyleElement type="secondRowStripe" dxfId="12"/>
    </tableStyle>
    <tableStyle name="Hiệu quảSurvival-style 6" pivot="0" count="2" xr9:uid="{F0C87FFC-363A-4913-94AB-C293BA887B69}">
      <tableStyleElement type="firstRowStripe" dxfId="11"/>
      <tableStyleElement type="secondRowStripe" dxfId="10"/>
    </tableStyle>
    <tableStyle name="Hiệu quảSurvival-style 7" pivot="0" count="2" xr9:uid="{834938FF-8F22-443C-8990-E0493353CD5C}">
      <tableStyleElement type="firstRowStripe" dxfId="9"/>
      <tableStyleElement type="secondRowStripe" dxfId="8"/>
    </tableStyle>
    <tableStyle name="Hiệu quảSurvival-style 8" pivot="0" count="2" xr9:uid="{AF5F9A8F-6016-4D6D-9A72-C092383101C1}">
      <tableStyleElement type="firstRowStripe" dxfId="7"/>
      <tableStyleElement type="secondRowStripe" dxfId="6"/>
    </tableStyle>
    <tableStyle name="Hiệu quảSurvival-style 9" pivot="0" count="2" xr9:uid="{416C8D94-46F3-4C14-B9B9-A791EDFD09DB}">
      <tableStyleElement type="firstRowStripe" dxfId="5"/>
      <tableStyleElement type="secondRowStripe" dxfId="4"/>
    </tableStyle>
    <tableStyle name="Patient info-style" pivot="0" count="4" xr9:uid="{E6F5A0FC-046F-4E7A-97C4-68F5737F928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DED95-8E7E-4486-A1C9-B4CDF6C00C6F}" name="Baseline" displayName="Baseline" ref="B4:I20">
  <tableColumns count="8">
    <tableColumn id="1" xr3:uid="{8504E186-C2AA-4EF2-894D-75B5AD2A0CF6}" name="STT"/>
    <tableColumn id="2" xr3:uid="{61A5EBBA-34AD-4566-8F65-3DA44659E9A6}" name="PID"/>
    <tableColumn id="3" xr3:uid="{4D2F45AA-5FD1-445C-A9D6-87AAA1E6B626}" name="Project ID"/>
    <tableColumn id="4" xr3:uid="{99325F79-D7A0-446F-9EB3-BAAD4332117B}" name="Tên BN"/>
    <tableColumn id="5" xr3:uid="{6E113F4C-4339-4F7A-8A84-B20E19685DE0}" name="Chẩn đoán"/>
    <tableColumn id="6" xr3:uid="{2AB0C243-79A3-4398-8E17-6C5E3AFA4372}" name="Ngày truyền"/>
    <tableColumn id="7" xr3:uid="{154F9D32-89FA-4CA1-AD6E-7567C5ED7CAB}" name="Age"/>
    <tableColumn id="8" xr3:uid="{33B9334A-8A73-473C-BA5F-8F5E12362E41}" name="Giới tính"/>
  </tableColumns>
  <tableStyleInfo name="Patient inf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7A380-F824-4D2C-96C2-61A0ACB61EFB}" name="Table_8" displayName="Table_8" ref="C3:C18" headerRowCount="0">
  <tableColumns count="1">
    <tableColumn id="1" xr3:uid="{B78D61DE-4C58-4AAD-B854-6CC15B5944D0}" name="Column1"/>
  </tableColumns>
  <tableStyleInfo name="Hiệu quảSurvival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4F5F88-8E3F-4DCE-BEEC-F858C6634B95}" name="Table_9" displayName="Table_9" ref="H3:I19" headerRowCount="0">
  <tableColumns count="2">
    <tableColumn id="1" xr3:uid="{8F101BDD-B138-4226-BF85-D012E68D619E}" name="Column1"/>
    <tableColumn id="2" xr3:uid="{5C0DDCA8-3BF2-4AC5-9E46-699ABB7CB0D0}" name="Column2"/>
  </tableColumns>
  <tableStyleInfo name="Hiệu quảSurvival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C73A8-37D7-4D86-A245-005876A56F0A}" name="Table_10" displayName="Table_10" ref="Y3:AF8" headerRowCount="0">
  <tableColumns count="8">
    <tableColumn id="1" xr3:uid="{C455E057-194F-4F86-879D-14C7DC7F0F07}" name="Column1"/>
    <tableColumn id="2" xr3:uid="{6265AD1C-3216-4532-A228-3F77B6E3D2FC}" name="Column2"/>
    <tableColumn id="3" xr3:uid="{5259AE38-E9F2-4A28-A58A-82ACE0D9AD53}" name="Column3"/>
    <tableColumn id="4" xr3:uid="{6B828BC4-6C09-4AA4-8853-B839EEF770D8}" name="Column4"/>
    <tableColumn id="5" xr3:uid="{0B5EEDB4-2B5B-4CBD-890A-1EA1CF0F4B33}" name="Column5"/>
    <tableColumn id="6" xr3:uid="{25FB7A1F-188D-492D-A46F-560DE048F0CA}" name="Column6"/>
    <tableColumn id="7" xr3:uid="{B873CDFA-38EC-4402-BA58-C6409E0391D1}" name="Column7"/>
    <tableColumn id="8" xr3:uid="{B2190B85-D3E5-44E0-A787-55E6CE2A8450}" name="Column8"/>
  </tableColumns>
  <tableStyleInfo name="Hiệu quảSurvival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1ECBA8-3EBB-40E2-B28C-25A9E1E9AA90}" name="Table_11" displayName="Table_11" ref="AA11:AA16" headerRowCount="0">
  <tableColumns count="1">
    <tableColumn id="1" xr3:uid="{2D53C334-C0BD-4030-A375-18CCFD77FB63}" name="Column1"/>
  </tableColumns>
  <tableStyleInfo name="Hiệu quảSurvival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EC6081-680B-42EE-87AA-3AE4C9D10BD7}" name="Table_12" displayName="Table_12" ref="P23:T30" headerRowCount="0">
  <tableColumns count="5">
    <tableColumn id="1" xr3:uid="{D20EE8C2-6043-4F37-B21F-6F70ED3D6F48}" name="Column1"/>
    <tableColumn id="2" xr3:uid="{00E1B7A4-69FB-4E9E-9F28-9FE3B9BB8933}" name="Column2"/>
    <tableColumn id="3" xr3:uid="{EBA0BA5C-428F-4898-B2D1-172796DC20F6}" name="Column3"/>
    <tableColumn id="4" xr3:uid="{344C0578-1547-4B86-8A80-72B89D673C0F}" name="Column4"/>
    <tableColumn id="5" xr3:uid="{F0FE5A3E-4E4B-4B36-8419-20EA8C46DE3D}" name="Column5"/>
  </tableColumns>
  <tableStyleInfo name="Hiệu quảSurvival-style 5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EEEA3E-01DE-4CD6-AE2E-91D9E1496C06}" name="Table_13" displayName="Table_13" ref="U23:U30" headerRowCount="0">
  <tableColumns count="1">
    <tableColumn id="1" xr3:uid="{A8092289-2223-41B1-833E-24B3E896BE5C}" name="Column1"/>
  </tableColumns>
  <tableStyleInfo name="Hiệu quảSurvival-style 6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2F3EF4-5FCD-4CF2-B64A-A28593DC4E01}" name="Table_14" displayName="Table_14" ref="E32:E47" headerRowCount="0">
  <tableColumns count="1">
    <tableColumn id="1" xr3:uid="{5558D454-A6A1-4C2A-A88F-20CB6EC82A40}" name="Column1"/>
  </tableColumns>
  <tableStyleInfo name="Hiệu quảSurvival-style 7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8DF4B8-4761-4588-AEBF-CD3E1659C8DC}" name="Table_15" displayName="Table_15" ref="P32:T39" headerRowCount="0">
  <tableColumns count="5">
    <tableColumn id="1" xr3:uid="{C58E3A2B-F845-42BB-B3DD-070C96D06DCD}" name="Column1"/>
    <tableColumn id="2" xr3:uid="{60020234-5B56-4BDF-AFFC-B45CA5520DE4}" name="Column2"/>
    <tableColumn id="3" xr3:uid="{24AAF47F-9DAE-44A9-9624-7D41E5643187}" name="Column3"/>
    <tableColumn id="4" xr3:uid="{7B7B7BA2-E30D-41A7-B40E-5D99AA103392}" name="Column4"/>
    <tableColumn id="5" xr3:uid="{719BCBE2-5E71-42EB-A5CA-416D6528E4FF}" name="Column5"/>
  </tableColumns>
  <tableStyleInfo name="Hiệu quảSurvival-style 8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8462A6A-3F4B-4CE8-9F5F-A71338C24363}" name="Table_16" displayName="Table_16" ref="U32:Y47" headerRowCount="0">
  <tableColumns count="5">
    <tableColumn id="1" xr3:uid="{0827A6D7-84DC-442A-BEA2-E333A42D4D1A}" name="Column1"/>
    <tableColumn id="2" xr3:uid="{61673DAD-E695-49EC-828F-00792404DE4D}" name="Column2"/>
    <tableColumn id="3" xr3:uid="{F206469D-D09F-420D-9CE9-21C8367F54AD}" name="Column3"/>
    <tableColumn id="4" xr3:uid="{C5EBF36F-C0B3-44CC-B7A0-9FC535D7827A}" name="Column4"/>
    <tableColumn id="5" xr3:uid="{AD1B42AA-4DA4-4E7B-A7C3-CC6D72F57F76}" name="Column5"/>
  </tableColumns>
  <tableStyleInfo name="Hiệu quảSurvival-style 9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EEED-2F8B-4732-985F-826960E30BE3}">
  <dimension ref="A2:I20"/>
  <sheetViews>
    <sheetView workbookViewId="0">
      <selection activeCell="C1" sqref="C1:C1048576"/>
    </sheetView>
  </sheetViews>
  <sheetFormatPr defaultColWidth="12.6328125" defaultRowHeight="15.75" customHeight="1"/>
  <cols>
    <col min="1" max="1" width="13.453125" customWidth="1"/>
    <col min="2" max="2" width="11.453125" customWidth="1"/>
    <col min="3" max="3" width="18.6328125" customWidth="1"/>
    <col min="4" max="4" width="16.7265625" customWidth="1"/>
    <col min="5" max="5" width="24.6328125" customWidth="1"/>
    <col min="9" max="9" width="16.08984375" customWidth="1"/>
  </cols>
  <sheetData>
    <row r="2" spans="1:9" ht="31">
      <c r="A2" s="179" t="s">
        <v>0</v>
      </c>
      <c r="B2" s="180"/>
      <c r="C2" s="180"/>
      <c r="D2" s="180"/>
      <c r="E2" s="180"/>
      <c r="F2" s="180"/>
      <c r="G2" s="180"/>
      <c r="H2" s="180"/>
      <c r="I2" s="180"/>
    </row>
    <row r="4" spans="1:9" ht="38">
      <c r="B4" s="1" t="s">
        <v>1</v>
      </c>
      <c r="C4" s="1" t="s">
        <v>2</v>
      </c>
      <c r="D4" s="2" t="s">
        <v>3</v>
      </c>
      <c r="E4" s="1" t="s">
        <v>4</v>
      </c>
      <c r="F4" s="1" t="s">
        <v>5</v>
      </c>
      <c r="G4" s="2" t="s">
        <v>6</v>
      </c>
      <c r="H4" s="1" t="s">
        <v>7</v>
      </c>
      <c r="I4" s="1" t="s">
        <v>8</v>
      </c>
    </row>
    <row r="5" spans="1:9" ht="15.5">
      <c r="A5" s="181" t="s">
        <v>9</v>
      </c>
      <c r="B5" s="3">
        <v>1</v>
      </c>
      <c r="C5" s="3">
        <v>201264034</v>
      </c>
      <c r="D5" s="3" t="s">
        <v>10</v>
      </c>
      <c r="E5" s="4" t="s">
        <v>11</v>
      </c>
      <c r="F5" s="5" t="s">
        <v>9</v>
      </c>
      <c r="G5" s="6">
        <v>45241</v>
      </c>
      <c r="H5" s="7">
        <v>35</v>
      </c>
      <c r="I5" s="8" t="s">
        <v>12</v>
      </c>
    </row>
    <row r="6" spans="1:9" ht="15.5">
      <c r="A6" s="182"/>
      <c r="B6" s="3">
        <v>2</v>
      </c>
      <c r="C6" s="3">
        <v>201285157</v>
      </c>
      <c r="D6" s="3" t="s">
        <v>13</v>
      </c>
      <c r="E6" s="4" t="s">
        <v>14</v>
      </c>
      <c r="F6" s="5" t="s">
        <v>9</v>
      </c>
      <c r="G6" s="9">
        <v>45627</v>
      </c>
      <c r="H6" s="7">
        <v>55</v>
      </c>
      <c r="I6" s="8" t="s">
        <v>12</v>
      </c>
    </row>
    <row r="7" spans="1:9" ht="15.5">
      <c r="A7" s="182"/>
      <c r="B7" s="3">
        <v>3</v>
      </c>
      <c r="C7" s="3">
        <v>201313119</v>
      </c>
      <c r="D7" s="3" t="s">
        <v>15</v>
      </c>
      <c r="E7" s="4" t="s">
        <v>16</v>
      </c>
      <c r="F7" s="5" t="s">
        <v>9</v>
      </c>
      <c r="G7" s="9">
        <v>45355</v>
      </c>
      <c r="H7" s="7">
        <v>32</v>
      </c>
      <c r="I7" s="8" t="s">
        <v>12</v>
      </c>
    </row>
    <row r="8" spans="1:9" ht="15.5">
      <c r="A8" s="182"/>
      <c r="B8" s="3">
        <v>4</v>
      </c>
      <c r="C8" s="3">
        <v>201332220</v>
      </c>
      <c r="D8" s="3" t="s">
        <v>17</v>
      </c>
      <c r="E8" s="4" t="s">
        <v>18</v>
      </c>
      <c r="F8" s="5" t="s">
        <v>9</v>
      </c>
      <c r="G8" s="10" t="s">
        <v>19</v>
      </c>
      <c r="H8" s="7">
        <v>38</v>
      </c>
      <c r="I8" s="8" t="s">
        <v>12</v>
      </c>
    </row>
    <row r="9" spans="1:9" ht="15.5">
      <c r="A9" s="182"/>
      <c r="B9" s="3">
        <v>5</v>
      </c>
      <c r="C9" s="3">
        <v>201360604</v>
      </c>
      <c r="D9" s="3" t="s">
        <v>20</v>
      </c>
      <c r="E9" s="4" t="s">
        <v>21</v>
      </c>
      <c r="F9" s="5" t="s">
        <v>9</v>
      </c>
      <c r="G9" s="9">
        <v>45298</v>
      </c>
      <c r="H9" s="7">
        <v>40</v>
      </c>
      <c r="I9" s="8" t="s">
        <v>22</v>
      </c>
    </row>
    <row r="10" spans="1:9" ht="15.5">
      <c r="A10" s="182"/>
      <c r="B10" s="3">
        <v>6</v>
      </c>
      <c r="C10" s="3">
        <v>201059250</v>
      </c>
      <c r="D10" s="3" t="s">
        <v>23</v>
      </c>
      <c r="E10" s="4" t="s">
        <v>24</v>
      </c>
      <c r="F10" s="5" t="s">
        <v>9</v>
      </c>
      <c r="G10" s="10" t="s">
        <v>25</v>
      </c>
      <c r="H10" s="7">
        <v>45</v>
      </c>
      <c r="I10" s="8" t="s">
        <v>22</v>
      </c>
    </row>
    <row r="11" spans="1:9" ht="15.5">
      <c r="A11" s="182"/>
      <c r="B11" s="3">
        <v>7</v>
      </c>
      <c r="C11" s="3">
        <v>201162896</v>
      </c>
      <c r="D11" s="3" t="s">
        <v>26</v>
      </c>
      <c r="E11" s="4" t="s">
        <v>27</v>
      </c>
      <c r="F11" s="5" t="s">
        <v>9</v>
      </c>
      <c r="G11" s="10" t="s">
        <v>28</v>
      </c>
      <c r="H11" s="7">
        <v>50</v>
      </c>
      <c r="I11" s="8" t="s">
        <v>22</v>
      </c>
    </row>
    <row r="12" spans="1:9" ht="15.5">
      <c r="A12" s="183"/>
      <c r="B12" s="3">
        <v>8</v>
      </c>
      <c r="C12" s="3">
        <v>201449348</v>
      </c>
      <c r="D12" s="3" t="s">
        <v>29</v>
      </c>
      <c r="E12" s="4" t="s">
        <v>30</v>
      </c>
      <c r="F12" s="5" t="s">
        <v>9</v>
      </c>
      <c r="G12" s="10" t="s">
        <v>31</v>
      </c>
      <c r="H12" s="7">
        <v>42</v>
      </c>
      <c r="I12" s="8" t="s">
        <v>22</v>
      </c>
    </row>
    <row r="13" spans="1:9" ht="15.5">
      <c r="A13" s="181" t="s">
        <v>32</v>
      </c>
      <c r="B13" s="3">
        <v>9</v>
      </c>
      <c r="C13" s="3">
        <v>201217917</v>
      </c>
      <c r="D13" s="3" t="s">
        <v>33</v>
      </c>
      <c r="E13" s="4" t="s">
        <v>34</v>
      </c>
      <c r="F13" s="11" t="s">
        <v>32</v>
      </c>
      <c r="G13" s="10" t="s">
        <v>35</v>
      </c>
      <c r="H13" s="7">
        <v>8</v>
      </c>
      <c r="I13" s="8" t="s">
        <v>12</v>
      </c>
    </row>
    <row r="14" spans="1:9" ht="15.5">
      <c r="A14" s="182"/>
      <c r="B14" s="3">
        <v>10</v>
      </c>
      <c r="C14" s="3">
        <v>201246602</v>
      </c>
      <c r="D14" s="12" t="s">
        <v>36</v>
      </c>
      <c r="E14" s="4" t="s">
        <v>37</v>
      </c>
      <c r="F14" s="11" t="s">
        <v>32</v>
      </c>
      <c r="G14" s="9">
        <v>45026</v>
      </c>
      <c r="H14" s="7">
        <v>12</v>
      </c>
      <c r="I14" s="8" t="s">
        <v>12</v>
      </c>
    </row>
    <row r="15" spans="1:9" ht="15.5">
      <c r="A15" s="182"/>
      <c r="B15" s="3">
        <f t="shared" ref="B15:B20" si="0">B14+1</f>
        <v>11</v>
      </c>
      <c r="C15" s="3">
        <v>201269561</v>
      </c>
      <c r="D15" s="3" t="s">
        <v>38</v>
      </c>
      <c r="E15" s="4" t="s">
        <v>39</v>
      </c>
      <c r="F15" s="11" t="s">
        <v>32</v>
      </c>
      <c r="G15" s="9" t="s">
        <v>40</v>
      </c>
      <c r="H15" s="7">
        <v>5</v>
      </c>
      <c r="I15" s="8" t="s">
        <v>22</v>
      </c>
    </row>
    <row r="16" spans="1:9" ht="15.5">
      <c r="A16" s="182"/>
      <c r="B16" s="3">
        <f t="shared" si="0"/>
        <v>12</v>
      </c>
      <c r="C16" s="3">
        <v>201273725</v>
      </c>
      <c r="D16" s="3" t="s">
        <v>41</v>
      </c>
      <c r="E16" s="4" t="s">
        <v>42</v>
      </c>
      <c r="F16" s="11" t="s">
        <v>32</v>
      </c>
      <c r="G16" s="10" t="s">
        <v>43</v>
      </c>
      <c r="H16" s="7">
        <v>16</v>
      </c>
      <c r="I16" s="8" t="s">
        <v>12</v>
      </c>
    </row>
    <row r="17" spans="1:9" ht="15.5">
      <c r="A17" s="182"/>
      <c r="B17" s="3">
        <f t="shared" si="0"/>
        <v>13</v>
      </c>
      <c r="C17" s="3">
        <v>201326301</v>
      </c>
      <c r="D17" s="3" t="s">
        <v>44</v>
      </c>
      <c r="E17" s="4" t="s">
        <v>45</v>
      </c>
      <c r="F17" s="11" t="s">
        <v>32</v>
      </c>
      <c r="G17" s="9">
        <v>45446</v>
      </c>
      <c r="H17" s="7">
        <v>24</v>
      </c>
      <c r="I17" s="8" t="s">
        <v>22</v>
      </c>
    </row>
    <row r="18" spans="1:9" ht="15.5">
      <c r="A18" s="182"/>
      <c r="B18" s="3">
        <f t="shared" si="0"/>
        <v>14</v>
      </c>
      <c r="C18" s="3">
        <v>201309405</v>
      </c>
      <c r="D18" s="3" t="s">
        <v>46</v>
      </c>
      <c r="E18" s="4" t="s">
        <v>47</v>
      </c>
      <c r="F18" s="11" t="s">
        <v>32</v>
      </c>
      <c r="G18" s="10" t="s">
        <v>48</v>
      </c>
      <c r="H18" s="7">
        <v>11</v>
      </c>
      <c r="I18" s="8" t="s">
        <v>22</v>
      </c>
    </row>
    <row r="19" spans="1:9" ht="15.5">
      <c r="A19" s="182"/>
      <c r="B19" s="3">
        <f t="shared" si="0"/>
        <v>15</v>
      </c>
      <c r="C19" s="3">
        <v>201348734</v>
      </c>
      <c r="D19" s="8" t="s">
        <v>49</v>
      </c>
      <c r="E19" s="4" t="s">
        <v>50</v>
      </c>
      <c r="F19" s="11" t="s">
        <v>32</v>
      </c>
      <c r="G19" s="10" t="s">
        <v>51</v>
      </c>
      <c r="H19" s="7">
        <v>50</v>
      </c>
      <c r="I19" s="8" t="s">
        <v>22</v>
      </c>
    </row>
    <row r="20" spans="1:9" ht="15.5">
      <c r="A20" s="183"/>
      <c r="B20" s="3">
        <f t="shared" si="0"/>
        <v>16</v>
      </c>
      <c r="C20" s="3">
        <v>201323056</v>
      </c>
      <c r="D20" s="3" t="s">
        <v>52</v>
      </c>
      <c r="E20" s="4" t="s">
        <v>53</v>
      </c>
      <c r="F20" s="11" t="s">
        <v>32</v>
      </c>
      <c r="G20" s="6">
        <v>45606</v>
      </c>
      <c r="H20" s="7">
        <v>27</v>
      </c>
      <c r="I20" s="8" t="s">
        <v>22</v>
      </c>
    </row>
  </sheetData>
  <mergeCells count="3">
    <mergeCell ref="A2:I2"/>
    <mergeCell ref="A5:A12"/>
    <mergeCell ref="A13:A20"/>
  </mergeCells>
  <dataValidations count="1">
    <dataValidation type="custom" allowBlank="1" showDropDown="1" sqref="H5:H20" xr:uid="{84653146-0F78-4F1E-8129-28E4A565506B}">
      <formula1>AND(ISNUMBER(H5),(NOT(OR(NOT(ISERROR(DATEVALUE(H5))), AND(ISNUMBER(H5), LEFT(CELL("format", H5))="D")))))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DD5B-78D3-4D3F-AA37-2F595478D071}">
  <dimension ref="A1:AV998"/>
  <sheetViews>
    <sheetView tabSelected="1" topLeftCell="M9" zoomScale="71" zoomScaleNormal="72" workbookViewId="0">
      <selection activeCell="X26" sqref="X26"/>
    </sheetView>
  </sheetViews>
  <sheetFormatPr defaultColWidth="12.6328125" defaultRowHeight="14.5"/>
  <cols>
    <col min="2" max="2" width="18.453125" customWidth="1"/>
    <col min="3" max="3" width="20.08984375" customWidth="1"/>
    <col min="4" max="4" width="13.26953125" customWidth="1"/>
    <col min="5" max="5" width="10.36328125" customWidth="1"/>
    <col min="6" max="6" width="13.7265625" customWidth="1"/>
    <col min="8" max="8" width="16.6328125" customWidth="1"/>
    <col min="9" max="9" width="13.7265625" customWidth="1"/>
    <col min="10" max="10" width="13.36328125" customWidth="1"/>
    <col min="11" max="11" width="14.453125" customWidth="1"/>
    <col min="12" max="12" width="22.08984375" customWidth="1"/>
    <col min="13" max="13" width="31.1796875" customWidth="1"/>
    <col min="14" max="14" width="20.81640625" customWidth="1"/>
    <col min="15" max="15" width="13.81640625" customWidth="1"/>
    <col min="16" max="16" width="19.90625" customWidth="1"/>
    <col min="17" max="17" width="11.7265625" customWidth="1"/>
    <col min="18" max="18" width="17.7265625" customWidth="1"/>
    <col min="19" max="20" width="15.36328125" customWidth="1"/>
    <col min="21" max="23" width="14.453125" customWidth="1"/>
    <col min="24" max="25" width="16.26953125" customWidth="1"/>
    <col min="26" max="26" width="18.6328125" customWidth="1"/>
    <col min="27" max="31" width="17.81640625" customWidth="1"/>
    <col min="32" max="32" width="14.7265625" customWidth="1"/>
    <col min="33" max="33" width="50.26953125" customWidth="1"/>
    <col min="34" max="34" width="20.36328125" customWidth="1"/>
    <col min="35" max="35" width="17.26953125" customWidth="1"/>
    <col min="37" max="37" width="15.36328125" customWidth="1"/>
  </cols>
  <sheetData>
    <row r="1" spans="1:48" ht="26">
      <c r="A1" s="13"/>
      <c r="B1" s="13"/>
      <c r="C1" s="187" t="s">
        <v>54</v>
      </c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4"/>
      <c r="Q1" s="14"/>
      <c r="R1" s="14"/>
      <c r="S1" s="14"/>
      <c r="T1" s="14"/>
      <c r="U1" s="14"/>
      <c r="V1" s="14"/>
      <c r="W1" s="14"/>
      <c r="X1" s="14"/>
      <c r="Y1" s="14"/>
      <c r="Z1" s="13"/>
      <c r="AA1" s="15"/>
      <c r="AB1" s="15"/>
      <c r="AC1" s="15"/>
      <c r="AD1" s="15"/>
      <c r="AE1" s="15"/>
      <c r="AF1" s="16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spans="1:48" ht="45">
      <c r="A2" s="17" t="s">
        <v>55</v>
      </c>
      <c r="B2" s="18">
        <v>45791</v>
      </c>
      <c r="C2" s="19" t="s">
        <v>56</v>
      </c>
      <c r="D2" s="19" t="s">
        <v>4</v>
      </c>
      <c r="E2" s="19" t="s">
        <v>5</v>
      </c>
      <c r="F2" s="19" t="s">
        <v>57</v>
      </c>
      <c r="G2" s="19" t="s">
        <v>58</v>
      </c>
      <c r="H2" s="19" t="s">
        <v>6</v>
      </c>
      <c r="I2" s="19" t="s">
        <v>59</v>
      </c>
      <c r="J2" s="20" t="s">
        <v>60</v>
      </c>
      <c r="K2" s="19" t="s">
        <v>61</v>
      </c>
      <c r="L2" s="19" t="s">
        <v>62</v>
      </c>
      <c r="M2" s="19" t="s">
        <v>63</v>
      </c>
      <c r="N2" s="19" t="s">
        <v>64</v>
      </c>
      <c r="O2" s="19" t="s">
        <v>65</v>
      </c>
      <c r="P2" s="19" t="s">
        <v>66</v>
      </c>
      <c r="Q2" s="19" t="s">
        <v>67</v>
      </c>
      <c r="R2" s="19" t="s">
        <v>68</v>
      </c>
      <c r="S2" s="19" t="s">
        <v>69</v>
      </c>
      <c r="T2" s="19" t="s">
        <v>70</v>
      </c>
      <c r="U2" s="19" t="s">
        <v>71</v>
      </c>
      <c r="V2" s="19" t="s">
        <v>72</v>
      </c>
      <c r="W2" s="19" t="s">
        <v>73</v>
      </c>
      <c r="X2" s="19" t="s">
        <v>74</v>
      </c>
      <c r="Y2" s="19" t="s">
        <v>75</v>
      </c>
      <c r="Z2" s="19" t="s">
        <v>76</v>
      </c>
      <c r="AA2" s="19" t="s">
        <v>77</v>
      </c>
      <c r="AB2" s="19" t="s">
        <v>78</v>
      </c>
      <c r="AC2" s="19" t="s">
        <v>79</v>
      </c>
      <c r="AD2" s="19" t="s">
        <v>80</v>
      </c>
      <c r="AE2" s="19" t="s">
        <v>81</v>
      </c>
      <c r="AF2" s="19" t="s">
        <v>82</v>
      </c>
      <c r="AG2" s="13"/>
      <c r="AH2" s="13"/>
      <c r="AI2" s="13"/>
      <c r="AJ2" s="13"/>
      <c r="AK2" s="13"/>
      <c r="AL2" s="13"/>
      <c r="AM2" s="13"/>
      <c r="AN2" s="13"/>
      <c r="AO2" s="13"/>
      <c r="AP2" s="21"/>
      <c r="AQ2" s="21"/>
      <c r="AR2" s="21"/>
      <c r="AS2" s="13"/>
      <c r="AT2" s="13"/>
      <c r="AU2" s="13"/>
      <c r="AV2" s="13"/>
    </row>
    <row r="3" spans="1:48" ht="77.25" customHeight="1">
      <c r="A3" s="22"/>
      <c r="B3" s="13"/>
      <c r="C3" s="8" t="s">
        <v>10</v>
      </c>
      <c r="D3" s="8" t="s">
        <v>11</v>
      </c>
      <c r="E3" s="5" t="s">
        <v>9</v>
      </c>
      <c r="F3" s="8" t="s">
        <v>83</v>
      </c>
      <c r="G3" s="8">
        <v>2</v>
      </c>
      <c r="H3" s="18">
        <v>45241</v>
      </c>
      <c r="I3" s="23">
        <v>1.85</v>
      </c>
      <c r="J3" s="8" t="s">
        <v>84</v>
      </c>
      <c r="K3" s="8" t="s">
        <v>85</v>
      </c>
      <c r="L3" s="8" t="s">
        <v>85</v>
      </c>
      <c r="M3" s="8" t="s">
        <v>86</v>
      </c>
      <c r="N3" s="8"/>
      <c r="O3" s="24"/>
      <c r="P3" s="8" t="s">
        <v>87</v>
      </c>
      <c r="Q3" s="8" t="s">
        <v>88</v>
      </c>
      <c r="R3" s="18">
        <v>45462</v>
      </c>
      <c r="S3" s="24">
        <f>DATEDIF(H3,R3,"d")</f>
        <v>221</v>
      </c>
      <c r="T3" s="25">
        <f t="shared" ref="T3:T18" si="0">S3/30</f>
        <v>7.3666666666666663</v>
      </c>
      <c r="U3" s="24"/>
      <c r="V3" s="24"/>
      <c r="W3" s="24"/>
      <c r="X3" s="24"/>
      <c r="Y3" s="26" t="s">
        <v>89</v>
      </c>
      <c r="Z3" s="26" t="s">
        <v>90</v>
      </c>
      <c r="AA3" s="27">
        <v>687.3</v>
      </c>
      <c r="AB3" s="28" t="s">
        <v>91</v>
      </c>
      <c r="AC3" s="29"/>
      <c r="AD3" s="28" t="s">
        <v>92</v>
      </c>
      <c r="AE3" s="28"/>
      <c r="AF3" s="8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</row>
    <row r="4" spans="1:48" ht="59.25" customHeight="1">
      <c r="A4" s="22"/>
      <c r="B4" s="13"/>
      <c r="C4" s="8" t="s">
        <v>13</v>
      </c>
      <c r="D4" s="8" t="s">
        <v>14</v>
      </c>
      <c r="E4" s="5" t="s">
        <v>9</v>
      </c>
      <c r="F4" s="24" t="s">
        <v>93</v>
      </c>
      <c r="G4" s="24">
        <v>4</v>
      </c>
      <c r="H4" s="18">
        <v>45303</v>
      </c>
      <c r="I4" s="30">
        <v>0.83</v>
      </c>
      <c r="J4" s="8" t="s">
        <v>84</v>
      </c>
      <c r="K4" s="8" t="s">
        <v>94</v>
      </c>
      <c r="L4" s="8" t="s">
        <v>94</v>
      </c>
      <c r="M4" s="8" t="s">
        <v>94</v>
      </c>
      <c r="N4" s="8"/>
      <c r="O4" s="24"/>
      <c r="P4" s="8" t="s">
        <v>88</v>
      </c>
      <c r="Q4" s="8" t="s">
        <v>88</v>
      </c>
      <c r="R4" s="8"/>
      <c r="S4" s="24">
        <f t="shared" ref="S4:S11" si="1">DATEDIF(H4,$B$2,"d")</f>
        <v>488</v>
      </c>
      <c r="T4" s="25">
        <f t="shared" si="0"/>
        <v>16.266666666666666</v>
      </c>
      <c r="U4" s="24"/>
      <c r="V4" s="24"/>
      <c r="W4" s="24"/>
      <c r="X4" s="24"/>
      <c r="Y4" s="27">
        <v>0</v>
      </c>
      <c r="Z4" s="27">
        <v>0</v>
      </c>
      <c r="AA4" s="27">
        <v>944.4</v>
      </c>
      <c r="AB4" s="28" t="s">
        <v>95</v>
      </c>
      <c r="AC4" s="29"/>
      <c r="AD4" s="28" t="s">
        <v>92</v>
      </c>
      <c r="AE4" s="28"/>
      <c r="AF4" s="8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</row>
    <row r="5" spans="1:48" ht="73.5" customHeight="1">
      <c r="A5" s="22"/>
      <c r="B5" s="13"/>
      <c r="C5" s="8" t="s">
        <v>15</v>
      </c>
      <c r="D5" s="8" t="s">
        <v>16</v>
      </c>
      <c r="E5" s="5" t="s">
        <v>9</v>
      </c>
      <c r="F5" s="24" t="s">
        <v>93</v>
      </c>
      <c r="G5" s="24">
        <v>2</v>
      </c>
      <c r="H5" s="18">
        <v>45385</v>
      </c>
      <c r="I5" s="23">
        <v>1.81</v>
      </c>
      <c r="J5" s="8" t="s">
        <v>84</v>
      </c>
      <c r="K5" s="8" t="s">
        <v>94</v>
      </c>
      <c r="L5" s="8" t="s">
        <v>94</v>
      </c>
      <c r="M5" s="8" t="s">
        <v>94</v>
      </c>
      <c r="N5" s="8"/>
      <c r="O5" s="24"/>
      <c r="P5" s="8" t="s">
        <v>88</v>
      </c>
      <c r="Q5" s="8" t="s">
        <v>88</v>
      </c>
      <c r="R5" s="8"/>
      <c r="S5" s="24">
        <f t="shared" si="1"/>
        <v>406</v>
      </c>
      <c r="T5" s="25">
        <f t="shared" si="0"/>
        <v>13.533333333333333</v>
      </c>
      <c r="U5" s="24"/>
      <c r="V5" s="24"/>
      <c r="W5" s="24"/>
      <c r="X5" s="24"/>
      <c r="Y5" s="26" t="s">
        <v>96</v>
      </c>
      <c r="Z5" s="26" t="s">
        <v>96</v>
      </c>
      <c r="AA5" s="27">
        <v>935.4</v>
      </c>
      <c r="AB5" s="28" t="s">
        <v>97</v>
      </c>
      <c r="AC5" s="29"/>
      <c r="AD5" s="28" t="s">
        <v>92</v>
      </c>
      <c r="AE5" s="28"/>
      <c r="AF5" s="8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ht="70.5" customHeight="1">
      <c r="A6" s="22"/>
      <c r="B6" s="13"/>
      <c r="C6" s="8" t="s">
        <v>17</v>
      </c>
      <c r="D6" s="8" t="s">
        <v>18</v>
      </c>
      <c r="E6" s="5" t="s">
        <v>9</v>
      </c>
      <c r="F6" s="24" t="s">
        <v>93</v>
      </c>
      <c r="G6" s="24">
        <v>5</v>
      </c>
      <c r="H6" s="18">
        <v>45434</v>
      </c>
      <c r="I6" s="23">
        <v>2.09</v>
      </c>
      <c r="J6" s="8" t="s">
        <v>84</v>
      </c>
      <c r="K6" s="8" t="s">
        <v>94</v>
      </c>
      <c r="L6" s="8" t="s">
        <v>94</v>
      </c>
      <c r="M6" s="8" t="s">
        <v>94</v>
      </c>
      <c r="N6" s="8"/>
      <c r="O6" s="24"/>
      <c r="P6" s="8" t="s">
        <v>88</v>
      </c>
      <c r="Q6" s="8" t="s">
        <v>88</v>
      </c>
      <c r="R6" s="8"/>
      <c r="S6" s="24">
        <f t="shared" si="1"/>
        <v>357</v>
      </c>
      <c r="T6" s="25">
        <f t="shared" si="0"/>
        <v>11.9</v>
      </c>
      <c r="U6" s="24"/>
      <c r="V6" s="24"/>
      <c r="W6" s="24"/>
      <c r="X6" s="24"/>
      <c r="Y6" s="26" t="s">
        <v>98</v>
      </c>
      <c r="Z6" s="26" t="s">
        <v>98</v>
      </c>
      <c r="AA6" s="27">
        <v>1126.8</v>
      </c>
      <c r="AB6" s="28" t="s">
        <v>99</v>
      </c>
      <c r="AC6" s="29"/>
      <c r="AD6" s="28" t="s">
        <v>92</v>
      </c>
      <c r="AE6" s="28"/>
      <c r="AF6" s="8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</row>
    <row r="7" spans="1:48" ht="59.25" customHeight="1">
      <c r="A7" s="22"/>
      <c r="B7" s="13"/>
      <c r="C7" s="8" t="s">
        <v>20</v>
      </c>
      <c r="D7" s="8" t="s">
        <v>21</v>
      </c>
      <c r="E7" s="5" t="s">
        <v>9</v>
      </c>
      <c r="F7" s="24" t="s">
        <v>83</v>
      </c>
      <c r="G7" s="24">
        <v>3</v>
      </c>
      <c r="H7" s="18">
        <v>45474</v>
      </c>
      <c r="I7" s="23">
        <v>1.6</v>
      </c>
      <c r="J7" s="8" t="s">
        <v>84</v>
      </c>
      <c r="K7" s="8" t="s">
        <v>94</v>
      </c>
      <c r="L7" s="8" t="s">
        <v>94</v>
      </c>
      <c r="M7" s="8" t="s">
        <v>94</v>
      </c>
      <c r="N7" s="8"/>
      <c r="O7" s="24"/>
      <c r="P7" s="8" t="s">
        <v>88</v>
      </c>
      <c r="Q7" s="8" t="s">
        <v>88</v>
      </c>
      <c r="R7" s="8"/>
      <c r="S7" s="24">
        <f t="shared" si="1"/>
        <v>317</v>
      </c>
      <c r="T7" s="25">
        <f t="shared" si="0"/>
        <v>10.566666666666666</v>
      </c>
      <c r="U7" s="24"/>
      <c r="V7" s="24"/>
      <c r="W7" s="24"/>
      <c r="X7" s="24"/>
      <c r="Y7" s="26" t="s">
        <v>100</v>
      </c>
      <c r="Z7" s="26" t="s">
        <v>101</v>
      </c>
      <c r="AA7" s="27">
        <v>1774.9</v>
      </c>
      <c r="AB7" s="31" t="s">
        <v>102</v>
      </c>
      <c r="AC7" s="29">
        <v>45504</v>
      </c>
      <c r="AD7" s="31" t="s">
        <v>88</v>
      </c>
      <c r="AE7" s="32">
        <f>DATEDIF(H7,AC7,"d")</f>
        <v>30</v>
      </c>
      <c r="AF7" s="8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</row>
    <row r="8" spans="1:48" ht="72" customHeight="1">
      <c r="A8" s="22"/>
      <c r="B8" s="13"/>
      <c r="C8" s="8" t="s">
        <v>23</v>
      </c>
      <c r="D8" s="8" t="s">
        <v>24</v>
      </c>
      <c r="E8" s="5" t="s">
        <v>9</v>
      </c>
      <c r="F8" s="24" t="s">
        <v>83</v>
      </c>
      <c r="G8" s="24">
        <v>5</v>
      </c>
      <c r="H8" s="18">
        <v>45497</v>
      </c>
      <c r="I8" s="23">
        <v>2.17</v>
      </c>
      <c r="J8" s="8" t="s">
        <v>84</v>
      </c>
      <c r="K8" s="8" t="s">
        <v>94</v>
      </c>
      <c r="L8" s="8" t="s">
        <v>94</v>
      </c>
      <c r="M8" s="8" t="s">
        <v>94</v>
      </c>
      <c r="N8" s="8"/>
      <c r="O8" s="24"/>
      <c r="P8" s="8" t="s">
        <v>88</v>
      </c>
      <c r="Q8" s="8" t="s">
        <v>88</v>
      </c>
      <c r="R8" s="8"/>
      <c r="S8" s="24">
        <f t="shared" si="1"/>
        <v>294</v>
      </c>
      <c r="T8" s="25">
        <f t="shared" si="0"/>
        <v>9.8000000000000007</v>
      </c>
      <c r="U8" s="24"/>
      <c r="V8" s="24"/>
      <c r="W8" s="24"/>
      <c r="X8" s="24"/>
      <c r="Y8" s="26" t="s">
        <v>103</v>
      </c>
      <c r="Z8" s="26"/>
      <c r="AA8" s="27">
        <v>599</v>
      </c>
      <c r="AB8" s="31" t="s">
        <v>104</v>
      </c>
      <c r="AC8" s="29"/>
      <c r="AD8" s="31" t="s">
        <v>92</v>
      </c>
      <c r="AE8" s="28"/>
      <c r="AF8" s="8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</row>
    <row r="9" spans="1:48" ht="62.25" customHeight="1">
      <c r="A9" s="22"/>
      <c r="B9" s="13"/>
      <c r="C9" s="8" t="s">
        <v>26</v>
      </c>
      <c r="D9" s="8" t="s">
        <v>27</v>
      </c>
      <c r="E9" s="5" t="s">
        <v>9</v>
      </c>
      <c r="F9" s="24" t="s">
        <v>105</v>
      </c>
      <c r="G9" s="24">
        <v>2</v>
      </c>
      <c r="H9" s="18">
        <v>45553</v>
      </c>
      <c r="I9" s="23">
        <v>2</v>
      </c>
      <c r="J9" s="8" t="s">
        <v>84</v>
      </c>
      <c r="K9" s="8" t="s">
        <v>94</v>
      </c>
      <c r="L9" s="8" t="s">
        <v>94</v>
      </c>
      <c r="M9" s="8" t="s">
        <v>94</v>
      </c>
      <c r="N9" s="8"/>
      <c r="O9" s="24"/>
      <c r="P9" s="8" t="s">
        <v>88</v>
      </c>
      <c r="Q9" s="8" t="s">
        <v>88</v>
      </c>
      <c r="R9" s="8"/>
      <c r="S9" s="24">
        <f t="shared" si="1"/>
        <v>238</v>
      </c>
      <c r="T9" s="25">
        <f t="shared" si="0"/>
        <v>7.9333333333333336</v>
      </c>
      <c r="U9" s="24"/>
      <c r="V9" s="24"/>
      <c r="W9" s="24"/>
      <c r="X9" s="24"/>
      <c r="Y9" s="33"/>
      <c r="Z9" s="33"/>
      <c r="AA9" s="34">
        <v>1031</v>
      </c>
      <c r="AB9" s="31" t="s">
        <v>106</v>
      </c>
      <c r="AC9" s="29"/>
      <c r="AD9" s="31" t="s">
        <v>92</v>
      </c>
      <c r="AE9" s="28"/>
      <c r="AF9" s="8"/>
      <c r="AG9" s="35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</row>
    <row r="10" spans="1:48" ht="54.75" customHeight="1">
      <c r="A10" s="22"/>
      <c r="B10" s="13"/>
      <c r="C10" s="8" t="s">
        <v>29</v>
      </c>
      <c r="D10" s="8" t="s">
        <v>30</v>
      </c>
      <c r="E10" s="5" t="s">
        <v>9</v>
      </c>
      <c r="F10" s="24" t="s">
        <v>93</v>
      </c>
      <c r="G10" s="24">
        <v>2</v>
      </c>
      <c r="H10" s="18">
        <v>45609</v>
      </c>
      <c r="I10" s="23">
        <v>1.94</v>
      </c>
      <c r="J10" s="8" t="s">
        <v>84</v>
      </c>
      <c r="K10" s="8" t="s">
        <v>94</v>
      </c>
      <c r="L10" s="8" t="s">
        <v>94</v>
      </c>
      <c r="M10" s="8" t="s">
        <v>94</v>
      </c>
      <c r="N10" s="8"/>
      <c r="O10" s="24"/>
      <c r="P10" s="8" t="s">
        <v>88</v>
      </c>
      <c r="Q10" s="8" t="s">
        <v>88</v>
      </c>
      <c r="R10" s="8"/>
      <c r="S10" s="24">
        <f t="shared" si="1"/>
        <v>182</v>
      </c>
      <c r="T10" s="25">
        <f t="shared" si="0"/>
        <v>6.0666666666666664</v>
      </c>
      <c r="U10" s="24"/>
      <c r="V10" s="24"/>
      <c r="W10" s="24"/>
      <c r="X10" s="24"/>
      <c r="Y10" s="36" t="s">
        <v>107</v>
      </c>
      <c r="Z10" s="37" t="s">
        <v>108</v>
      </c>
      <c r="AA10" s="38">
        <v>524</v>
      </c>
      <c r="AB10" s="31" t="s">
        <v>109</v>
      </c>
      <c r="AC10" s="29"/>
      <c r="AD10" s="31" t="s">
        <v>92</v>
      </c>
      <c r="AE10" s="28"/>
      <c r="AF10" s="8"/>
      <c r="AG10" s="35"/>
      <c r="AH10" s="13"/>
      <c r="AI10" s="13"/>
      <c r="AJ10" s="13"/>
      <c r="AK10" s="13"/>
      <c r="AL10" s="13"/>
      <c r="AM10" s="13"/>
      <c r="AN10" s="13"/>
      <c r="AO10" s="13"/>
      <c r="AP10" s="39"/>
      <c r="AQ10" s="39"/>
      <c r="AR10" s="39"/>
      <c r="AS10" s="39"/>
      <c r="AT10" s="39"/>
      <c r="AU10" s="40"/>
      <c r="AV10" s="41"/>
    </row>
    <row r="11" spans="1:48" ht="57.75" customHeight="1">
      <c r="A11" s="22"/>
      <c r="B11" s="13"/>
      <c r="C11" s="8" t="s">
        <v>33</v>
      </c>
      <c r="D11" s="8" t="s">
        <v>34</v>
      </c>
      <c r="E11" s="11" t="s">
        <v>32</v>
      </c>
      <c r="F11" s="24" t="s">
        <v>105</v>
      </c>
      <c r="G11" s="24">
        <v>3</v>
      </c>
      <c r="H11" s="18">
        <v>45163</v>
      </c>
      <c r="I11" s="23">
        <v>2.09</v>
      </c>
      <c r="J11" s="8" t="s">
        <v>94</v>
      </c>
      <c r="K11" s="8" t="s">
        <v>94</v>
      </c>
      <c r="L11" s="8" t="s">
        <v>94</v>
      </c>
      <c r="M11" s="8" t="s">
        <v>94</v>
      </c>
      <c r="N11" s="8"/>
      <c r="O11" s="24"/>
      <c r="P11" s="8" t="s">
        <v>88</v>
      </c>
      <c r="Q11" s="8" t="s">
        <v>88</v>
      </c>
      <c r="R11" s="8"/>
      <c r="S11" s="24">
        <f t="shared" si="1"/>
        <v>628</v>
      </c>
      <c r="T11" s="25">
        <f t="shared" si="0"/>
        <v>20.933333333333334</v>
      </c>
      <c r="U11" s="24"/>
      <c r="V11" s="24"/>
      <c r="W11" s="24">
        <v>1E-3</v>
      </c>
      <c r="X11" s="24">
        <v>1E-4</v>
      </c>
      <c r="Y11" s="33"/>
      <c r="Z11" s="33"/>
      <c r="AA11" s="27">
        <v>1308.3</v>
      </c>
      <c r="AB11" s="28" t="s">
        <v>110</v>
      </c>
      <c r="AC11" s="29"/>
      <c r="AD11" s="28" t="s">
        <v>92</v>
      </c>
      <c r="AE11" s="28"/>
      <c r="AF11" s="42">
        <v>0.05</v>
      </c>
      <c r="AG11" s="35"/>
      <c r="AH11" s="16"/>
      <c r="AI11" s="13"/>
      <c r="AJ11" s="43"/>
      <c r="AK11" s="13"/>
      <c r="AL11" s="13"/>
      <c r="AM11" s="13"/>
      <c r="AN11" s="13"/>
      <c r="AO11" s="13"/>
      <c r="AP11" s="41"/>
      <c r="AQ11" s="13"/>
      <c r="AR11" s="13"/>
      <c r="AS11" s="13"/>
      <c r="AT11" s="13"/>
      <c r="AU11" s="13"/>
      <c r="AV11" s="13"/>
    </row>
    <row r="12" spans="1:48" ht="60" customHeight="1">
      <c r="A12" s="22"/>
      <c r="B12" s="13"/>
      <c r="C12" s="44" t="s">
        <v>111</v>
      </c>
      <c r="D12" s="8" t="s">
        <v>37</v>
      </c>
      <c r="E12" s="11" t="s">
        <v>32</v>
      </c>
      <c r="F12" s="24" t="s">
        <v>105</v>
      </c>
      <c r="G12" s="24">
        <v>3</v>
      </c>
      <c r="H12" s="18">
        <v>45203</v>
      </c>
      <c r="I12" s="23">
        <v>1.84</v>
      </c>
      <c r="J12" s="8" t="s">
        <v>94</v>
      </c>
      <c r="K12" s="8" t="s">
        <v>112</v>
      </c>
      <c r="L12" s="8" t="s">
        <v>113</v>
      </c>
      <c r="M12" s="8" t="s">
        <v>114</v>
      </c>
      <c r="N12" s="18">
        <v>45294</v>
      </c>
      <c r="O12" s="24">
        <f>DATEDIF(H12,N12,"d")</f>
        <v>91</v>
      </c>
      <c r="P12" s="8" t="s">
        <v>92</v>
      </c>
      <c r="Q12" s="8" t="s">
        <v>88</v>
      </c>
      <c r="R12" s="18">
        <v>45713</v>
      </c>
      <c r="S12" s="24">
        <f>DATEDIF(H12,R12,"d")</f>
        <v>510</v>
      </c>
      <c r="T12" s="25">
        <f t="shared" si="0"/>
        <v>17</v>
      </c>
      <c r="U12" s="24">
        <v>1.5E-3</v>
      </c>
      <c r="V12" s="24">
        <v>1.1999999999999999E-3</v>
      </c>
      <c r="W12" s="24" t="s">
        <v>115</v>
      </c>
      <c r="X12" s="24"/>
      <c r="Y12" s="33"/>
      <c r="Z12" s="33"/>
      <c r="AA12" s="27">
        <v>679</v>
      </c>
      <c r="AB12" s="28" t="s">
        <v>116</v>
      </c>
      <c r="AC12" s="29"/>
      <c r="AD12" s="28" t="s">
        <v>92</v>
      </c>
      <c r="AE12" s="28"/>
      <c r="AF12" s="45">
        <v>0.1</v>
      </c>
      <c r="AG12" s="35"/>
      <c r="AH12" s="16"/>
      <c r="AI12" s="188"/>
      <c r="AJ12" s="180"/>
      <c r="AK12" s="188"/>
      <c r="AL12" s="180"/>
      <c r="AM12" s="180"/>
      <c r="AN12" s="13"/>
      <c r="AO12" s="13"/>
      <c r="AP12" s="41"/>
      <c r="AQ12" s="13"/>
      <c r="AR12" s="13"/>
      <c r="AS12" s="13"/>
      <c r="AT12" s="13"/>
      <c r="AU12" s="13"/>
      <c r="AV12" s="13"/>
    </row>
    <row r="13" spans="1:48" ht="60.75" customHeight="1">
      <c r="A13" s="22"/>
      <c r="B13" s="13"/>
      <c r="C13" s="8" t="s">
        <v>38</v>
      </c>
      <c r="D13" s="8" t="s">
        <v>39</v>
      </c>
      <c r="E13" s="11" t="s">
        <v>32</v>
      </c>
      <c r="F13" s="24" t="s">
        <v>93</v>
      </c>
      <c r="G13" s="24">
        <v>1</v>
      </c>
      <c r="H13" s="18">
        <v>45255</v>
      </c>
      <c r="I13" s="23">
        <v>1.75</v>
      </c>
      <c r="J13" s="8" t="s">
        <v>94</v>
      </c>
      <c r="K13" s="8" t="s">
        <v>94</v>
      </c>
      <c r="L13" s="8" t="s">
        <v>94</v>
      </c>
      <c r="M13" s="8" t="s">
        <v>94</v>
      </c>
      <c r="N13" s="8"/>
      <c r="O13" s="24"/>
      <c r="P13" s="8" t="s">
        <v>88</v>
      </c>
      <c r="Q13" s="8" t="s">
        <v>88</v>
      </c>
      <c r="R13" s="18"/>
      <c r="S13" s="24">
        <f>DATEDIF(H13,$B$2,"d")</f>
        <v>536</v>
      </c>
      <c r="T13" s="25">
        <f t="shared" si="0"/>
        <v>17.866666666666667</v>
      </c>
      <c r="U13" s="24">
        <v>1E-4</v>
      </c>
      <c r="V13" s="24">
        <v>2.3999999999999998E-3</v>
      </c>
      <c r="W13" s="24">
        <v>4.4000000000000003E-3</v>
      </c>
      <c r="X13" s="24">
        <v>5.1999999999999998E-3</v>
      </c>
      <c r="Y13" s="33"/>
      <c r="Z13" s="33"/>
      <c r="AA13" s="27">
        <v>1144.7</v>
      </c>
      <c r="AB13" s="28" t="s">
        <v>117</v>
      </c>
      <c r="AC13" s="29"/>
      <c r="AD13" s="28" t="s">
        <v>92</v>
      </c>
      <c r="AE13" s="28"/>
      <c r="AF13" s="42">
        <v>0</v>
      </c>
      <c r="AG13" s="46"/>
      <c r="AH13" s="16"/>
      <c r="AI13" s="47"/>
      <c r="AJ13" s="47"/>
      <c r="AK13" s="47"/>
      <c r="AL13" s="47"/>
      <c r="AM13" s="47"/>
      <c r="AN13" s="13"/>
      <c r="AO13" s="13"/>
      <c r="AP13" s="41"/>
      <c r="AQ13" s="13"/>
      <c r="AR13" s="13"/>
      <c r="AS13" s="13"/>
      <c r="AT13" s="13"/>
      <c r="AU13" s="13"/>
      <c r="AV13" s="13"/>
    </row>
    <row r="14" spans="1:48" ht="72.75" customHeight="1">
      <c r="A14" s="22"/>
      <c r="B14" s="13"/>
      <c r="C14" s="8" t="s">
        <v>41</v>
      </c>
      <c r="D14" s="8" t="s">
        <v>42</v>
      </c>
      <c r="E14" s="11" t="s">
        <v>32</v>
      </c>
      <c r="F14" s="24" t="s">
        <v>105</v>
      </c>
      <c r="G14" s="24">
        <v>3</v>
      </c>
      <c r="H14" s="18">
        <v>45287</v>
      </c>
      <c r="I14" s="23">
        <v>1.33</v>
      </c>
      <c r="J14" s="8" t="s">
        <v>94</v>
      </c>
      <c r="K14" s="8" t="s">
        <v>112</v>
      </c>
      <c r="L14" s="8" t="s">
        <v>118</v>
      </c>
      <c r="M14" s="8" t="s">
        <v>118</v>
      </c>
      <c r="N14" s="18">
        <v>45370</v>
      </c>
      <c r="O14" s="24">
        <f>DATEDIF(H14,N14,"d")</f>
        <v>83</v>
      </c>
      <c r="P14" s="8" t="s">
        <v>119</v>
      </c>
      <c r="Q14" s="8" t="s">
        <v>119</v>
      </c>
      <c r="R14" s="18">
        <v>45393</v>
      </c>
      <c r="S14" s="24">
        <f>DATEDIF(H14,R14,"d")</f>
        <v>106</v>
      </c>
      <c r="T14" s="25">
        <f t="shared" si="0"/>
        <v>3.5333333333333332</v>
      </c>
      <c r="U14" s="24">
        <v>9.8000000000000004E-2</v>
      </c>
      <c r="V14" s="24">
        <v>5.0000000000000001E-4</v>
      </c>
      <c r="W14" s="24"/>
      <c r="X14" s="24"/>
      <c r="Y14" s="33"/>
      <c r="Z14" s="33"/>
      <c r="AA14" s="27">
        <v>1118.0999999999999</v>
      </c>
      <c r="AB14" s="28" t="s">
        <v>120</v>
      </c>
      <c r="AC14" s="29"/>
      <c r="AD14" s="28" t="s">
        <v>92</v>
      </c>
      <c r="AE14" s="28"/>
      <c r="AF14" s="42">
        <v>0.04</v>
      </c>
      <c r="AG14" s="35"/>
      <c r="AH14" s="16"/>
      <c r="AI14" s="47"/>
      <c r="AJ14" s="47"/>
      <c r="AK14" s="47"/>
      <c r="AL14" s="47"/>
      <c r="AM14" s="47"/>
      <c r="AN14" s="13"/>
      <c r="AO14" s="13"/>
      <c r="AP14" s="35"/>
      <c r="AQ14" s="13"/>
      <c r="AR14" s="13"/>
      <c r="AS14" s="13"/>
      <c r="AT14" s="13"/>
      <c r="AU14" s="13"/>
      <c r="AV14" s="13"/>
    </row>
    <row r="15" spans="1:48" ht="59.25" customHeight="1">
      <c r="A15" s="13"/>
      <c r="B15" s="13"/>
      <c r="C15" s="8" t="s">
        <v>44</v>
      </c>
      <c r="D15" s="8" t="s">
        <v>45</v>
      </c>
      <c r="E15" s="11" t="s">
        <v>32</v>
      </c>
      <c r="F15" s="24" t="s">
        <v>93</v>
      </c>
      <c r="G15" s="24">
        <v>2</v>
      </c>
      <c r="H15" s="18">
        <v>45357</v>
      </c>
      <c r="I15" s="23">
        <v>2.09</v>
      </c>
      <c r="J15" s="8" t="s">
        <v>94</v>
      </c>
      <c r="K15" s="8" t="s">
        <v>94</v>
      </c>
      <c r="L15" s="8" t="s">
        <v>94</v>
      </c>
      <c r="M15" s="8" t="s">
        <v>94</v>
      </c>
      <c r="N15" s="8"/>
      <c r="O15" s="24"/>
      <c r="P15" s="8" t="s">
        <v>88</v>
      </c>
      <c r="Q15" s="8" t="s">
        <v>88</v>
      </c>
      <c r="R15" s="8"/>
      <c r="S15" s="24">
        <f t="shared" ref="S15:S16" si="2">DATEDIF(H15,$B$2,"d")</f>
        <v>434</v>
      </c>
      <c r="T15" s="25">
        <f t="shared" si="0"/>
        <v>14.466666666666667</v>
      </c>
      <c r="U15" s="24">
        <v>2.5000000000000001E-2</v>
      </c>
      <c r="V15" s="24">
        <v>2.9999999999999997E-4</v>
      </c>
      <c r="W15" s="24">
        <v>2.9999999999999997E-4</v>
      </c>
      <c r="X15" s="24">
        <v>2.0000000000000001E-4</v>
      </c>
      <c r="Y15" s="33"/>
      <c r="Z15" s="33"/>
      <c r="AA15" s="27">
        <v>1034.5</v>
      </c>
      <c r="AB15" s="28" t="s">
        <v>121</v>
      </c>
      <c r="AC15" s="29"/>
      <c r="AD15" s="28" t="s">
        <v>92</v>
      </c>
      <c r="AE15" s="28"/>
      <c r="AF15" s="42">
        <v>0</v>
      </c>
      <c r="AG15" s="35"/>
      <c r="AH15" s="16"/>
      <c r="AI15" s="13"/>
      <c r="AJ15" s="13"/>
      <c r="AK15" s="13"/>
      <c r="AL15" s="13"/>
      <c r="AM15" s="13"/>
      <c r="AN15" s="13"/>
      <c r="AO15" s="13"/>
      <c r="AP15" s="41"/>
      <c r="AQ15" s="13"/>
      <c r="AR15" s="13"/>
      <c r="AS15" s="13"/>
      <c r="AT15" s="13"/>
      <c r="AU15" s="13"/>
      <c r="AV15" s="13"/>
    </row>
    <row r="16" spans="1:48" ht="79.5" customHeight="1">
      <c r="A16" s="13"/>
      <c r="B16" s="13"/>
      <c r="C16" s="8" t="s">
        <v>46</v>
      </c>
      <c r="D16" s="8" t="s">
        <v>47</v>
      </c>
      <c r="E16" s="11" t="s">
        <v>32</v>
      </c>
      <c r="F16" s="24" t="s">
        <v>93</v>
      </c>
      <c r="G16" s="24">
        <v>1</v>
      </c>
      <c r="H16" s="18">
        <v>45366</v>
      </c>
      <c r="I16" s="23">
        <v>1.61</v>
      </c>
      <c r="J16" s="8" t="s">
        <v>94</v>
      </c>
      <c r="K16" s="8" t="s">
        <v>94</v>
      </c>
      <c r="L16" s="8" t="s">
        <v>94</v>
      </c>
      <c r="M16" s="8" t="s">
        <v>94</v>
      </c>
      <c r="N16" s="8"/>
      <c r="O16" s="24"/>
      <c r="P16" s="8" t="s">
        <v>88</v>
      </c>
      <c r="Q16" s="8" t="s">
        <v>88</v>
      </c>
      <c r="R16" s="8"/>
      <c r="S16" s="24">
        <f t="shared" si="2"/>
        <v>425</v>
      </c>
      <c r="T16" s="25">
        <f t="shared" si="0"/>
        <v>14.166666666666666</v>
      </c>
      <c r="U16" s="24">
        <v>6.9999999999999999E-4</v>
      </c>
      <c r="V16" s="24">
        <v>8.9999999999999998E-4</v>
      </c>
      <c r="W16" s="24">
        <v>5.9999999999999995E-4</v>
      </c>
      <c r="X16" s="24"/>
      <c r="Y16" s="33"/>
      <c r="Z16" s="33"/>
      <c r="AA16" s="27">
        <v>586.6</v>
      </c>
      <c r="AB16" s="28" t="s">
        <v>122</v>
      </c>
      <c r="AC16" s="29"/>
      <c r="AD16" s="28" t="s">
        <v>92</v>
      </c>
      <c r="AE16" s="28"/>
      <c r="AF16" s="42">
        <v>0</v>
      </c>
      <c r="AG16" s="48"/>
      <c r="AH16" s="16"/>
      <c r="AI16" s="13"/>
      <c r="AJ16" s="13"/>
      <c r="AK16" s="13"/>
      <c r="AL16" s="13"/>
      <c r="AM16" s="13"/>
      <c r="AN16" s="13"/>
      <c r="AO16" s="13"/>
      <c r="AP16" s="35"/>
      <c r="AQ16" s="13"/>
      <c r="AR16" s="13"/>
      <c r="AS16" s="13"/>
      <c r="AT16" s="13"/>
      <c r="AU16" s="13"/>
      <c r="AV16" s="13"/>
    </row>
    <row r="17" spans="1:48" ht="69.75" customHeight="1">
      <c r="A17" s="13"/>
      <c r="B17" s="13"/>
      <c r="C17" s="8" t="s">
        <v>49</v>
      </c>
      <c r="D17" s="8" t="s">
        <v>50</v>
      </c>
      <c r="E17" s="11" t="s">
        <v>32</v>
      </c>
      <c r="F17" s="24" t="s">
        <v>93</v>
      </c>
      <c r="G17" s="24">
        <v>2</v>
      </c>
      <c r="H17" s="18">
        <v>45406</v>
      </c>
      <c r="I17" s="23">
        <v>1.97</v>
      </c>
      <c r="J17" s="8" t="s">
        <v>94</v>
      </c>
      <c r="K17" s="8" t="s">
        <v>94</v>
      </c>
      <c r="L17" s="8" t="s">
        <v>123</v>
      </c>
      <c r="M17" s="8" t="s">
        <v>124</v>
      </c>
      <c r="N17" s="18">
        <v>45531</v>
      </c>
      <c r="O17" s="24">
        <f>DATEDIF(H17,N17,"d")</f>
        <v>125</v>
      </c>
      <c r="P17" s="8" t="s">
        <v>119</v>
      </c>
      <c r="Q17" s="8" t="s">
        <v>88</v>
      </c>
      <c r="R17" s="49">
        <v>45639</v>
      </c>
      <c r="S17" s="50">
        <f>DATEDIF(H17,R17,"d")</f>
        <v>233</v>
      </c>
      <c r="T17" s="25">
        <f t="shared" si="0"/>
        <v>7.7666666666666666</v>
      </c>
      <c r="U17" s="24">
        <v>8.0000000000000004E-4</v>
      </c>
      <c r="V17" s="24">
        <v>2.9999999999999997E-4</v>
      </c>
      <c r="W17" s="24">
        <v>1E-3</v>
      </c>
      <c r="X17" s="24"/>
      <c r="Y17" s="33"/>
      <c r="Z17" s="33"/>
      <c r="AA17" s="27">
        <v>1226.0999999999999</v>
      </c>
      <c r="AB17" s="28" t="s">
        <v>125</v>
      </c>
      <c r="AC17" s="29"/>
      <c r="AD17" s="28" t="s">
        <v>92</v>
      </c>
      <c r="AE17" s="28"/>
      <c r="AF17" s="42">
        <v>0</v>
      </c>
      <c r="AG17" s="35"/>
      <c r="AH17" s="16"/>
      <c r="AI17" s="13"/>
      <c r="AJ17" s="13"/>
      <c r="AK17" s="13"/>
      <c r="AL17" s="13"/>
      <c r="AM17" s="13"/>
      <c r="AN17" s="13"/>
      <c r="AO17" s="13"/>
      <c r="AP17" s="51"/>
      <c r="AQ17" s="51"/>
      <c r="AR17" s="13"/>
      <c r="AS17" s="13"/>
      <c r="AT17" s="35"/>
      <c r="AU17" s="35"/>
      <c r="AV17" s="35"/>
    </row>
    <row r="18" spans="1:48" ht="84" customHeight="1">
      <c r="A18" s="13"/>
      <c r="B18" s="13"/>
      <c r="C18" s="8" t="s">
        <v>52</v>
      </c>
      <c r="D18" s="8" t="s">
        <v>53</v>
      </c>
      <c r="E18" s="11" t="s">
        <v>32</v>
      </c>
      <c r="F18" s="24" t="s">
        <v>105</v>
      </c>
      <c r="G18" s="24">
        <v>3</v>
      </c>
      <c r="H18" s="18">
        <v>45576</v>
      </c>
      <c r="I18" s="23">
        <v>2.0499999999999998</v>
      </c>
      <c r="J18" s="8" t="s">
        <v>94</v>
      </c>
      <c r="K18" s="8" t="s">
        <v>94</v>
      </c>
      <c r="L18" s="8" t="s">
        <v>94</v>
      </c>
      <c r="M18" s="8" t="s">
        <v>94</v>
      </c>
      <c r="N18" s="8"/>
      <c r="O18" s="24"/>
      <c r="P18" s="8" t="s">
        <v>88</v>
      </c>
      <c r="Q18" s="8" t="s">
        <v>88</v>
      </c>
      <c r="R18" s="8"/>
      <c r="S18" s="24">
        <f>DATEDIF(H18,$B$2,"d")</f>
        <v>215</v>
      </c>
      <c r="T18" s="25">
        <f t="shared" si="0"/>
        <v>7.166666666666667</v>
      </c>
      <c r="U18" s="24">
        <v>1.1999999999999999E-3</v>
      </c>
      <c r="V18" s="24"/>
      <c r="W18" s="24"/>
      <c r="X18" s="24"/>
      <c r="Y18" s="33"/>
      <c r="Z18" s="33"/>
      <c r="AA18" s="38">
        <v>950</v>
      </c>
      <c r="AB18" s="31" t="s">
        <v>126</v>
      </c>
      <c r="AC18" s="29"/>
      <c r="AD18" s="28" t="s">
        <v>92</v>
      </c>
      <c r="AE18" s="28"/>
      <c r="AF18" s="42">
        <v>0</v>
      </c>
      <c r="AG18" s="13"/>
      <c r="AH18" s="16"/>
      <c r="AI18" s="13"/>
      <c r="AJ18" s="13"/>
      <c r="AK18" s="13"/>
      <c r="AL18" s="13"/>
      <c r="AM18" s="13"/>
      <c r="AN18" s="13"/>
      <c r="AO18" s="13"/>
      <c r="AP18" s="51"/>
      <c r="AQ18" s="51"/>
      <c r="AR18" s="13"/>
      <c r="AS18" s="13"/>
      <c r="AT18" s="52"/>
      <c r="AU18" s="52"/>
      <c r="AV18" s="52"/>
    </row>
    <row r="19" spans="1:48" ht="15.5">
      <c r="A19" s="13"/>
      <c r="B19" s="13"/>
      <c r="C19" s="53"/>
      <c r="D19" s="53"/>
      <c r="E19" s="51"/>
      <c r="F19" s="51"/>
      <c r="G19" s="35"/>
      <c r="H19" s="54"/>
      <c r="I19" s="55"/>
      <c r="J19" s="13"/>
      <c r="K19" s="35"/>
      <c r="L19" s="35"/>
      <c r="M19" s="35"/>
      <c r="N19" s="35"/>
      <c r="O19" s="35"/>
      <c r="P19" s="35"/>
      <c r="Q19" s="35"/>
      <c r="R19" s="35"/>
      <c r="S19" s="35"/>
      <c r="T19" s="56">
        <f>AVERAGE(T11:T18)</f>
        <v>12.862500000000001</v>
      </c>
      <c r="U19" s="35"/>
      <c r="V19" s="35"/>
      <c r="W19" s="35"/>
      <c r="X19" s="35"/>
      <c r="Y19" s="35"/>
      <c r="Z19" s="13"/>
      <c r="AA19" s="15"/>
      <c r="AB19" s="15"/>
      <c r="AC19" s="15"/>
      <c r="AD19" s="15"/>
      <c r="AE19" s="15"/>
      <c r="AF19" s="16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1:48" ht="16.5">
      <c r="A20" s="57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58"/>
      <c r="T20" s="13"/>
      <c r="U20" s="13"/>
      <c r="V20" s="13"/>
      <c r="W20" s="13"/>
      <c r="X20" s="13"/>
      <c r="Y20" s="13"/>
      <c r="Z20" s="13"/>
      <c r="AA20" s="15"/>
      <c r="AB20" s="15"/>
      <c r="AC20" s="15"/>
      <c r="AD20" s="15"/>
      <c r="AE20" s="15"/>
      <c r="AF20" s="16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1:48" ht="49.5">
      <c r="A21" s="35"/>
      <c r="B21" s="13"/>
      <c r="C21" s="13"/>
      <c r="D21" s="13"/>
      <c r="E21" s="13"/>
      <c r="F21" s="13"/>
      <c r="G21" s="189" t="s">
        <v>127</v>
      </c>
      <c r="H21" s="180"/>
      <c r="I21" s="180"/>
      <c r="J21" s="180"/>
      <c r="K21" s="180"/>
      <c r="L21" s="180"/>
      <c r="M21" s="180"/>
      <c r="N21" s="180"/>
      <c r="O21" s="13"/>
      <c r="P21" s="59" t="s">
        <v>128</v>
      </c>
      <c r="Q21" s="58" t="s">
        <v>7</v>
      </c>
      <c r="R21" s="58" t="s">
        <v>129</v>
      </c>
      <c r="S21" s="58" t="s">
        <v>130</v>
      </c>
      <c r="T21" s="58" t="s">
        <v>131</v>
      </c>
      <c r="U21" s="58" t="s">
        <v>132</v>
      </c>
      <c r="V21" s="58" t="s">
        <v>133</v>
      </c>
      <c r="W21" s="58" t="s">
        <v>134</v>
      </c>
      <c r="X21" s="58" t="s">
        <v>135</v>
      </c>
      <c r="Y21" s="59" t="s">
        <v>136</v>
      </c>
      <c r="Z21" s="13"/>
      <c r="AA21" s="15"/>
      <c r="AB21" s="15"/>
      <c r="AC21" s="15"/>
      <c r="AD21" s="15"/>
      <c r="AE21" s="15"/>
      <c r="AF21" s="16"/>
      <c r="AG21" s="13"/>
      <c r="AH21" s="60"/>
      <c r="AI21" s="13"/>
      <c r="AJ21" s="61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 ht="16.5">
      <c r="A22" s="35"/>
      <c r="B22" s="13"/>
      <c r="C22" s="13"/>
      <c r="D22" s="13"/>
      <c r="E22" s="13"/>
      <c r="F22" s="13"/>
      <c r="G22" s="62"/>
      <c r="H22" s="190" t="s">
        <v>137</v>
      </c>
      <c r="I22" s="191"/>
      <c r="J22" s="192"/>
      <c r="K22" s="190" t="s">
        <v>138</v>
      </c>
      <c r="L22" s="191"/>
      <c r="M22" s="191"/>
      <c r="N22" s="191"/>
      <c r="O22" s="13"/>
      <c r="P22" s="184" t="s">
        <v>32</v>
      </c>
      <c r="Q22" s="185"/>
      <c r="R22" s="185"/>
      <c r="S22" s="185"/>
      <c r="T22" s="185"/>
      <c r="U22" s="185"/>
      <c r="V22" s="186"/>
      <c r="W22" s="13"/>
      <c r="X22" s="13"/>
      <c r="Y22" s="13"/>
      <c r="Z22" s="13"/>
      <c r="AA22" s="15"/>
      <c r="AB22" s="15"/>
      <c r="AC22" s="15"/>
      <c r="AD22" s="15"/>
      <c r="AE22" s="15"/>
      <c r="AF22" s="16"/>
      <c r="AG22" s="63"/>
      <c r="AH22" s="63"/>
      <c r="AI22" s="63"/>
      <c r="AJ22" s="6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1:48" ht="31">
      <c r="A23" s="35"/>
      <c r="B23" s="53"/>
      <c r="C23" s="13"/>
      <c r="D23" s="13"/>
      <c r="E23" s="13"/>
      <c r="F23" s="13"/>
      <c r="G23" s="64"/>
      <c r="H23" s="65" t="s">
        <v>139</v>
      </c>
      <c r="I23" s="65" t="s">
        <v>140</v>
      </c>
      <c r="J23" s="66" t="s">
        <v>141</v>
      </c>
      <c r="K23" s="66" t="s">
        <v>142</v>
      </c>
      <c r="L23" s="66" t="s">
        <v>143</v>
      </c>
      <c r="M23" s="67" t="s">
        <v>140</v>
      </c>
      <c r="N23" s="67" t="s">
        <v>141</v>
      </c>
      <c r="O23" s="13"/>
      <c r="P23" s="8" t="s">
        <v>33</v>
      </c>
      <c r="Q23" s="7">
        <v>8</v>
      </c>
      <c r="R23" s="68" t="s">
        <v>84</v>
      </c>
      <c r="S23" s="42">
        <v>0.05</v>
      </c>
      <c r="T23" s="69">
        <v>528.86</v>
      </c>
      <c r="U23" s="70">
        <v>20.933333333333334</v>
      </c>
      <c r="V23" s="8" t="s">
        <v>94</v>
      </c>
      <c r="W23" s="8" t="s">
        <v>94</v>
      </c>
      <c r="X23" s="8" t="s">
        <v>94</v>
      </c>
      <c r="Y23" s="8" t="s">
        <v>94</v>
      </c>
      <c r="Z23" s="71"/>
      <c r="AA23" s="72"/>
      <c r="AB23" s="72"/>
      <c r="AC23" s="72"/>
      <c r="AD23" s="72"/>
      <c r="AE23" s="72"/>
      <c r="AF23" s="73"/>
      <c r="AG23" s="71"/>
      <c r="AH23" s="71"/>
      <c r="AI23" s="16"/>
      <c r="AJ23" s="74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1:48" ht="23">
      <c r="A24" s="46"/>
      <c r="B24" s="75"/>
      <c r="C24" s="13"/>
      <c r="D24" s="13"/>
      <c r="E24" s="13"/>
      <c r="F24" s="13"/>
      <c r="G24" s="76" t="s">
        <v>94</v>
      </c>
      <c r="H24" s="77" t="s">
        <v>144</v>
      </c>
      <c r="I24" s="77" t="s">
        <v>144</v>
      </c>
      <c r="J24" s="77" t="s">
        <v>144</v>
      </c>
      <c r="K24" s="78" t="s">
        <v>145</v>
      </c>
      <c r="L24" s="78" t="s">
        <v>146</v>
      </c>
      <c r="M24" s="79" t="s">
        <v>147</v>
      </c>
      <c r="N24" s="79" t="s">
        <v>147</v>
      </c>
      <c r="O24" s="13"/>
      <c r="P24" s="8" t="s">
        <v>36</v>
      </c>
      <c r="Q24" s="7">
        <v>12</v>
      </c>
      <c r="R24" s="68" t="s">
        <v>84</v>
      </c>
      <c r="S24" s="45">
        <v>0.1</v>
      </c>
      <c r="T24" s="69">
        <v>331.87</v>
      </c>
      <c r="U24" s="70">
        <v>17</v>
      </c>
      <c r="V24" s="8" t="s">
        <v>94</v>
      </c>
      <c r="W24" s="8" t="s">
        <v>112</v>
      </c>
      <c r="X24" s="8" t="s">
        <v>113</v>
      </c>
      <c r="Y24" s="8" t="s">
        <v>148</v>
      </c>
      <c r="Z24" s="71"/>
      <c r="AA24" s="72"/>
      <c r="AB24" s="72"/>
      <c r="AC24" s="72"/>
      <c r="AD24" s="72"/>
      <c r="AE24" s="72"/>
      <c r="AF24" s="73"/>
      <c r="AG24" s="71"/>
      <c r="AH24" s="71"/>
      <c r="AI24" s="16"/>
      <c r="AJ24" s="74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1:48" ht="23">
      <c r="A25" s="35"/>
      <c r="B25" s="53"/>
      <c r="C25" s="13"/>
      <c r="D25" s="13"/>
      <c r="E25" s="13"/>
      <c r="F25" s="13"/>
      <c r="G25" s="76" t="s">
        <v>149</v>
      </c>
      <c r="H25" s="77" t="s">
        <v>150</v>
      </c>
      <c r="I25" s="77" t="s">
        <v>150</v>
      </c>
      <c r="J25" s="77" t="s">
        <v>150</v>
      </c>
      <c r="K25" s="77" t="s">
        <v>150</v>
      </c>
      <c r="L25" s="77" t="s">
        <v>150</v>
      </c>
      <c r="M25" s="77" t="s">
        <v>150</v>
      </c>
      <c r="N25" s="77" t="s">
        <v>150</v>
      </c>
      <c r="O25" s="13"/>
      <c r="P25" s="8" t="s">
        <v>38</v>
      </c>
      <c r="Q25" s="7">
        <v>5</v>
      </c>
      <c r="R25" s="68" t="s">
        <v>84</v>
      </c>
      <c r="S25" s="42">
        <v>0</v>
      </c>
      <c r="T25" s="69">
        <v>989.4</v>
      </c>
      <c r="U25" s="70">
        <v>17.866666666666667</v>
      </c>
      <c r="V25" s="8" t="s">
        <v>94</v>
      </c>
      <c r="W25" s="8" t="s">
        <v>94</v>
      </c>
      <c r="X25" s="8" t="s">
        <v>94</v>
      </c>
      <c r="Y25" s="8" t="s">
        <v>94</v>
      </c>
      <c r="Z25" s="71"/>
      <c r="AA25" s="72"/>
      <c r="AB25" s="72"/>
      <c r="AC25" s="72"/>
      <c r="AD25" s="72"/>
      <c r="AE25" s="72"/>
      <c r="AF25" s="73"/>
      <c r="AG25" s="71"/>
      <c r="AH25" s="71"/>
      <c r="AI25" s="16"/>
      <c r="AJ25" s="74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ht="23">
      <c r="A26" s="35"/>
      <c r="B26" s="53"/>
      <c r="C26" s="13"/>
      <c r="D26" s="13"/>
      <c r="E26" s="13"/>
      <c r="F26" s="13"/>
      <c r="G26" s="76" t="s">
        <v>151</v>
      </c>
      <c r="H26" s="77" t="s">
        <v>152</v>
      </c>
      <c r="I26" s="77" t="s">
        <v>152</v>
      </c>
      <c r="J26" s="77" t="s">
        <v>150</v>
      </c>
      <c r="K26" s="77" t="s">
        <v>150</v>
      </c>
      <c r="L26" s="78" t="s">
        <v>150</v>
      </c>
      <c r="M26" s="79" t="s">
        <v>150</v>
      </c>
      <c r="N26" s="79" t="s">
        <v>150</v>
      </c>
      <c r="O26" s="13"/>
      <c r="P26" s="8" t="s">
        <v>41</v>
      </c>
      <c r="Q26" s="7">
        <v>16</v>
      </c>
      <c r="R26" s="68" t="s">
        <v>84</v>
      </c>
      <c r="S26" s="42">
        <v>0.04</v>
      </c>
      <c r="T26" s="69">
        <v>1125.94</v>
      </c>
      <c r="U26" s="70">
        <v>3.5333333333333332</v>
      </c>
      <c r="V26" s="8" t="s">
        <v>94</v>
      </c>
      <c r="W26" s="8" t="s">
        <v>112</v>
      </c>
      <c r="X26" s="8" t="s">
        <v>118</v>
      </c>
      <c r="Y26" s="8" t="s">
        <v>148</v>
      </c>
      <c r="Z26" s="71"/>
      <c r="AA26" s="72"/>
      <c r="AB26" s="72"/>
      <c r="AC26" s="72"/>
      <c r="AD26" s="72"/>
      <c r="AE26" s="72"/>
      <c r="AF26" s="73"/>
      <c r="AG26" s="71"/>
      <c r="AH26" s="71"/>
      <c r="AI26" s="16"/>
      <c r="AJ26" s="74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1:48" ht="23">
      <c r="A27" s="46"/>
      <c r="B27" s="80"/>
      <c r="C27" s="13"/>
      <c r="D27" s="13"/>
      <c r="E27" s="13"/>
      <c r="F27" s="13"/>
      <c r="G27" s="76" t="s">
        <v>153</v>
      </c>
      <c r="H27" s="77" t="s">
        <v>150</v>
      </c>
      <c r="I27" s="77" t="s">
        <v>150</v>
      </c>
      <c r="J27" s="77" t="s">
        <v>150</v>
      </c>
      <c r="K27" s="77" t="s">
        <v>150</v>
      </c>
      <c r="L27" s="78" t="s">
        <v>154</v>
      </c>
      <c r="M27" s="79" t="s">
        <v>154</v>
      </c>
      <c r="N27" s="79" t="s">
        <v>150</v>
      </c>
      <c r="O27" s="71"/>
      <c r="P27" s="8" t="s">
        <v>44</v>
      </c>
      <c r="Q27" s="7">
        <v>24</v>
      </c>
      <c r="R27" s="68" t="s">
        <v>84</v>
      </c>
      <c r="S27" s="42">
        <v>0</v>
      </c>
      <c r="T27" s="69">
        <v>1680.63</v>
      </c>
      <c r="U27" s="70">
        <v>14.466666666666667</v>
      </c>
      <c r="V27" s="8" t="s">
        <v>94</v>
      </c>
      <c r="W27" s="8" t="s">
        <v>94</v>
      </c>
      <c r="X27" s="8" t="s">
        <v>94</v>
      </c>
      <c r="Y27" s="8" t="s">
        <v>94</v>
      </c>
      <c r="Z27" s="71"/>
      <c r="AA27" s="72"/>
      <c r="AB27" s="72"/>
      <c r="AC27" s="72"/>
      <c r="AD27" s="72"/>
      <c r="AE27" s="72"/>
      <c r="AF27" s="73"/>
      <c r="AG27" s="81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1:48" ht="23">
      <c r="A28" s="35"/>
      <c r="B28" s="35"/>
      <c r="C28" s="13"/>
      <c r="D28" s="13"/>
      <c r="E28" s="13"/>
      <c r="F28" s="13"/>
      <c r="G28" s="76" t="s">
        <v>155</v>
      </c>
      <c r="H28" s="77" t="s">
        <v>150</v>
      </c>
      <c r="I28" s="77" t="s">
        <v>150</v>
      </c>
      <c r="J28" s="77" t="s">
        <v>152</v>
      </c>
      <c r="K28" s="77" t="s">
        <v>150</v>
      </c>
      <c r="L28" s="77" t="s">
        <v>150</v>
      </c>
      <c r="M28" s="77" t="s">
        <v>156</v>
      </c>
      <c r="N28" s="77" t="s">
        <v>157</v>
      </c>
      <c r="O28" s="71"/>
      <c r="P28" s="8" t="s">
        <v>46</v>
      </c>
      <c r="Q28" s="7">
        <v>11</v>
      </c>
      <c r="R28" s="68" t="s">
        <v>84</v>
      </c>
      <c r="S28" s="42">
        <v>0</v>
      </c>
      <c r="T28" s="69">
        <v>54.02</v>
      </c>
      <c r="U28" s="70">
        <v>14.166666666666666</v>
      </c>
      <c r="V28" s="8" t="s">
        <v>94</v>
      </c>
      <c r="W28" s="8" t="s">
        <v>94</v>
      </c>
      <c r="X28" s="8" t="s">
        <v>94</v>
      </c>
      <c r="Y28" s="8" t="s">
        <v>94</v>
      </c>
      <c r="Z28" s="71"/>
      <c r="AA28" s="72"/>
      <c r="AB28" s="72"/>
      <c r="AC28" s="72"/>
      <c r="AD28" s="72"/>
      <c r="AE28" s="72"/>
      <c r="AF28" s="73"/>
      <c r="AG28" s="81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1:48" ht="23">
      <c r="A29" s="35"/>
      <c r="B29" s="35"/>
      <c r="C29" s="13"/>
      <c r="D29" s="13"/>
      <c r="E29" s="13"/>
      <c r="F29" s="13"/>
      <c r="G29" s="13"/>
      <c r="H29" s="13"/>
      <c r="I29" s="13"/>
      <c r="J29" s="35"/>
      <c r="K29" s="13"/>
      <c r="L29" s="13"/>
      <c r="M29" s="13"/>
      <c r="N29" s="13"/>
      <c r="O29" s="71"/>
      <c r="P29" s="8" t="s">
        <v>49</v>
      </c>
      <c r="Q29" s="7">
        <v>50</v>
      </c>
      <c r="R29" s="68" t="s">
        <v>84</v>
      </c>
      <c r="S29" s="42">
        <v>0</v>
      </c>
      <c r="T29" s="69">
        <v>788.94</v>
      </c>
      <c r="U29" s="70">
        <v>12.8</v>
      </c>
      <c r="V29" s="8" t="s">
        <v>94</v>
      </c>
      <c r="W29" s="8" t="s">
        <v>94</v>
      </c>
      <c r="X29" s="8" t="s">
        <v>123</v>
      </c>
      <c r="Y29" s="8" t="s">
        <v>148</v>
      </c>
      <c r="Z29" s="71"/>
      <c r="AA29" s="72"/>
      <c r="AB29" s="72"/>
      <c r="AC29" s="72"/>
      <c r="AD29" s="72"/>
      <c r="AE29" s="72"/>
      <c r="AF29" s="73"/>
      <c r="AG29" s="82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1:48" ht="23">
      <c r="A30" s="35"/>
      <c r="B30" s="35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71"/>
      <c r="P30" s="8" t="s">
        <v>52</v>
      </c>
      <c r="Q30" s="7">
        <v>27</v>
      </c>
      <c r="R30" s="68" t="s">
        <v>84</v>
      </c>
      <c r="S30" s="42">
        <v>0</v>
      </c>
      <c r="T30" s="69">
        <v>280.45</v>
      </c>
      <c r="U30" s="70">
        <v>7.166666666666667</v>
      </c>
      <c r="V30" s="8" t="s">
        <v>94</v>
      </c>
      <c r="W30" s="8" t="s">
        <v>94</v>
      </c>
      <c r="X30" s="8" t="s">
        <v>94</v>
      </c>
      <c r="Y30" s="8" t="s">
        <v>94</v>
      </c>
      <c r="Z30" s="71"/>
      <c r="AA30" s="72"/>
      <c r="AB30" s="72"/>
      <c r="AC30" s="72"/>
      <c r="AD30" s="72"/>
      <c r="AE30" s="72"/>
      <c r="AF30" s="73"/>
      <c r="AG30" s="82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1:48" ht="23">
      <c r="A31" s="35"/>
      <c r="B31" s="35"/>
      <c r="C31" s="13"/>
      <c r="D31" s="13"/>
      <c r="E31" s="83"/>
      <c r="F31" s="83"/>
      <c r="G31" s="15"/>
      <c r="H31" s="15"/>
      <c r="I31" s="15"/>
      <c r="J31" s="13"/>
      <c r="K31" s="13"/>
      <c r="L31" s="13"/>
      <c r="M31" s="13"/>
      <c r="N31" s="35"/>
      <c r="O31" s="16"/>
      <c r="P31" s="184" t="s">
        <v>9</v>
      </c>
      <c r="Q31" s="185"/>
      <c r="R31" s="185"/>
      <c r="S31" s="185"/>
      <c r="T31" s="185"/>
      <c r="U31" s="185"/>
      <c r="V31" s="186"/>
      <c r="W31" s="71"/>
      <c r="X31" s="71"/>
      <c r="Y31" s="84"/>
      <c r="Z31" s="71"/>
      <c r="AA31" s="72"/>
      <c r="AB31" s="72"/>
      <c r="AC31" s="72"/>
      <c r="AD31" s="72"/>
      <c r="AE31" s="72"/>
      <c r="AF31" s="73"/>
      <c r="AG31" s="82"/>
      <c r="AH31" s="71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1:48" ht="23">
      <c r="A32" s="35"/>
      <c r="B32" s="35"/>
      <c r="C32" s="13"/>
      <c r="D32" s="13"/>
      <c r="E32" s="85"/>
      <c r="F32" s="85"/>
      <c r="G32" s="15"/>
      <c r="H32" s="86"/>
      <c r="I32" s="15"/>
      <c r="J32" s="13"/>
      <c r="K32" s="13"/>
      <c r="L32" s="13"/>
      <c r="M32" s="13"/>
      <c r="N32" s="35"/>
      <c r="O32" s="13"/>
      <c r="P32" s="8" t="s">
        <v>10</v>
      </c>
      <c r="Q32" s="7">
        <v>35</v>
      </c>
      <c r="R32" s="87" t="s">
        <v>89</v>
      </c>
      <c r="S32" s="88" t="s">
        <v>84</v>
      </c>
      <c r="T32" s="89">
        <v>6529.32</v>
      </c>
      <c r="U32" s="70">
        <v>7.3666666666666663</v>
      </c>
      <c r="V32" s="8" t="s">
        <v>84</v>
      </c>
      <c r="W32" s="8" t="s">
        <v>85</v>
      </c>
      <c r="X32" s="8" t="s">
        <v>85</v>
      </c>
      <c r="Y32" s="8" t="s">
        <v>148</v>
      </c>
      <c r="Z32" s="71"/>
      <c r="AA32" s="72"/>
      <c r="AB32" s="72"/>
      <c r="AC32" s="72"/>
      <c r="AD32" s="72"/>
      <c r="AE32" s="72"/>
      <c r="AF32" s="73"/>
      <c r="AG32" s="71"/>
      <c r="AH32" s="71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1:48" ht="23">
      <c r="A33" s="35"/>
      <c r="B33" s="35"/>
      <c r="C33" s="13"/>
      <c r="D33" s="13"/>
      <c r="E33" s="85"/>
      <c r="F33" s="85"/>
      <c r="G33" s="15"/>
      <c r="H33" s="15"/>
      <c r="I33" s="15"/>
      <c r="J33" s="13"/>
      <c r="K33" s="13"/>
      <c r="L33" s="13"/>
      <c r="M33" s="13"/>
      <c r="N33" s="35"/>
      <c r="O33" s="13"/>
      <c r="P33" s="8" t="s">
        <v>13</v>
      </c>
      <c r="Q33" s="7">
        <v>55</v>
      </c>
      <c r="R33" s="87" t="s">
        <v>158</v>
      </c>
      <c r="S33" s="88" t="s">
        <v>84</v>
      </c>
      <c r="T33" s="89">
        <v>260.22000000000003</v>
      </c>
      <c r="U33" s="70">
        <v>16.266666666666666</v>
      </c>
      <c r="V33" s="8" t="s">
        <v>84</v>
      </c>
      <c r="W33" s="8" t="s">
        <v>94</v>
      </c>
      <c r="X33" s="8" t="s">
        <v>94</v>
      </c>
      <c r="Y33" s="8" t="s">
        <v>94</v>
      </c>
      <c r="Z33" s="71"/>
      <c r="AA33" s="72"/>
      <c r="AB33" s="72"/>
      <c r="AC33" s="72"/>
      <c r="AD33" s="72"/>
      <c r="AE33" s="72"/>
      <c r="AF33" s="73"/>
      <c r="AG33" s="71"/>
      <c r="AH33" s="71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1:48" ht="23">
      <c r="A34" s="35"/>
      <c r="B34" s="35"/>
      <c r="C34" s="13"/>
      <c r="D34" s="13"/>
      <c r="E34" s="85"/>
      <c r="F34" s="85"/>
      <c r="G34" s="15"/>
      <c r="H34" s="15"/>
      <c r="I34" s="15"/>
      <c r="J34" s="13"/>
      <c r="K34" s="13"/>
      <c r="L34" s="13"/>
      <c r="M34" s="13"/>
      <c r="N34" s="35"/>
      <c r="O34" s="13"/>
      <c r="P34" s="8" t="s">
        <v>15</v>
      </c>
      <c r="Q34" s="7">
        <v>32</v>
      </c>
      <c r="R34" s="87" t="s">
        <v>158</v>
      </c>
      <c r="S34" s="88" t="s">
        <v>84</v>
      </c>
      <c r="T34" s="89">
        <v>2194.34</v>
      </c>
      <c r="U34" s="70">
        <v>13.533333333333333</v>
      </c>
      <c r="V34" s="8" t="s">
        <v>84</v>
      </c>
      <c r="W34" s="8" t="s">
        <v>94</v>
      </c>
      <c r="X34" s="8" t="s">
        <v>94</v>
      </c>
      <c r="Y34" s="8" t="s">
        <v>94</v>
      </c>
      <c r="Z34" s="71"/>
      <c r="AA34" s="72"/>
      <c r="AB34" s="72"/>
      <c r="AC34" s="72"/>
      <c r="AD34" s="72"/>
      <c r="AE34" s="72"/>
      <c r="AF34" s="73"/>
      <c r="AG34" s="71"/>
      <c r="AH34" s="71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1:48" ht="23">
      <c r="A35" s="35"/>
      <c r="B35" s="35"/>
      <c r="C35" s="13"/>
      <c r="D35" s="13"/>
      <c r="E35" s="85"/>
      <c r="F35" s="85"/>
      <c r="G35" s="15"/>
      <c r="H35" s="15"/>
      <c r="I35" s="15"/>
      <c r="J35" s="13"/>
      <c r="K35" s="13"/>
      <c r="L35" s="13"/>
      <c r="M35" s="13"/>
      <c r="N35" s="35"/>
      <c r="O35" s="13"/>
      <c r="P35" s="8" t="s">
        <v>17</v>
      </c>
      <c r="Q35" s="7">
        <v>38</v>
      </c>
      <c r="R35" s="87" t="s">
        <v>158</v>
      </c>
      <c r="S35" s="88" t="s">
        <v>84</v>
      </c>
      <c r="T35" s="89">
        <v>142.5</v>
      </c>
      <c r="U35" s="70">
        <v>11.9</v>
      </c>
      <c r="V35" s="8" t="s">
        <v>84</v>
      </c>
      <c r="W35" s="8" t="s">
        <v>94</v>
      </c>
      <c r="X35" s="8" t="s">
        <v>94</v>
      </c>
      <c r="Y35" s="8" t="s">
        <v>94</v>
      </c>
      <c r="Z35" s="71"/>
      <c r="AA35" s="72"/>
      <c r="AB35" s="72"/>
      <c r="AC35" s="72"/>
      <c r="AD35" s="72"/>
      <c r="AE35" s="72"/>
      <c r="AF35" s="73"/>
      <c r="AG35" s="71"/>
      <c r="AH35" s="71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</row>
    <row r="36" spans="1:48" ht="23">
      <c r="A36" s="35"/>
      <c r="B36" s="35"/>
      <c r="C36" s="13"/>
      <c r="D36" s="13"/>
      <c r="E36" s="85"/>
      <c r="F36" s="85"/>
      <c r="G36" s="15"/>
      <c r="H36" s="15"/>
      <c r="I36" s="15"/>
      <c r="J36" s="13"/>
      <c r="K36" s="13"/>
      <c r="L36" s="13"/>
      <c r="M36" s="13"/>
      <c r="N36" s="35"/>
      <c r="O36" s="13"/>
      <c r="P36" s="8" t="s">
        <v>20</v>
      </c>
      <c r="Q36" s="7">
        <v>40</v>
      </c>
      <c r="R36" s="87" t="s">
        <v>159</v>
      </c>
      <c r="S36" s="88" t="s">
        <v>84</v>
      </c>
      <c r="T36" s="89">
        <v>82.89</v>
      </c>
      <c r="U36" s="70">
        <v>10.566666666666666</v>
      </c>
      <c r="V36" s="8" t="s">
        <v>84</v>
      </c>
      <c r="W36" s="8" t="s">
        <v>94</v>
      </c>
      <c r="X36" s="8" t="s">
        <v>94</v>
      </c>
      <c r="Y36" s="8" t="s">
        <v>94</v>
      </c>
      <c r="Z36" s="71"/>
      <c r="AA36" s="72"/>
      <c r="AB36" s="72"/>
      <c r="AC36" s="72"/>
      <c r="AD36" s="72"/>
      <c r="AE36" s="72"/>
      <c r="AF36" s="73"/>
      <c r="AG36" s="71"/>
      <c r="AH36" s="71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spans="1:48" ht="28">
      <c r="A37" s="35"/>
      <c r="B37" s="35"/>
      <c r="C37" s="13"/>
      <c r="D37" s="13"/>
      <c r="E37" s="85"/>
      <c r="F37" s="85"/>
      <c r="G37" s="15"/>
      <c r="H37" s="15"/>
      <c r="I37" s="15"/>
      <c r="J37" s="41"/>
      <c r="K37" s="41"/>
      <c r="L37" s="41"/>
      <c r="M37" s="35"/>
      <c r="N37" s="35"/>
      <c r="O37" s="13"/>
      <c r="P37" s="8" t="s">
        <v>23</v>
      </c>
      <c r="Q37" s="7">
        <v>45</v>
      </c>
      <c r="R37" s="87" t="s">
        <v>160</v>
      </c>
      <c r="S37" s="88" t="s">
        <v>84</v>
      </c>
      <c r="T37" s="90">
        <v>2277.5</v>
      </c>
      <c r="U37" s="70">
        <v>9.8000000000000007</v>
      </c>
      <c r="V37" s="8" t="s">
        <v>84</v>
      </c>
      <c r="W37" s="8" t="s">
        <v>94</v>
      </c>
      <c r="X37" s="8" t="s">
        <v>94</v>
      </c>
      <c r="Y37" s="8" t="s">
        <v>94</v>
      </c>
      <c r="Z37" s="71"/>
      <c r="AA37" s="72"/>
      <c r="AB37" s="72"/>
      <c r="AC37" s="72"/>
      <c r="AD37" s="72"/>
      <c r="AE37" s="72"/>
      <c r="AF37" s="73"/>
      <c r="AG37" s="71"/>
      <c r="AH37" s="71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</row>
    <row r="38" spans="1:48" ht="23">
      <c r="A38" s="35"/>
      <c r="B38" s="35"/>
      <c r="C38" s="13"/>
      <c r="D38" s="13"/>
      <c r="E38" s="85"/>
      <c r="F38" s="85"/>
      <c r="G38" s="15"/>
      <c r="H38" s="15"/>
      <c r="I38" s="15"/>
      <c r="J38" s="35"/>
      <c r="K38" s="35"/>
      <c r="L38" s="35"/>
      <c r="M38" s="35"/>
      <c r="N38" s="35"/>
      <c r="O38" s="13"/>
      <c r="P38" s="8" t="s">
        <v>26</v>
      </c>
      <c r="Q38" s="7">
        <v>50</v>
      </c>
      <c r="R38" s="87" t="s">
        <v>158</v>
      </c>
      <c r="S38" s="88" t="s">
        <v>84</v>
      </c>
      <c r="T38" s="90">
        <v>1825.17</v>
      </c>
      <c r="U38" s="70">
        <v>7.9333333333333336</v>
      </c>
      <c r="V38" s="8" t="s">
        <v>84</v>
      </c>
      <c r="W38" s="8" t="s">
        <v>94</v>
      </c>
      <c r="X38" s="8" t="s">
        <v>94</v>
      </c>
      <c r="Y38" s="8" t="s">
        <v>94</v>
      </c>
      <c r="Z38" s="71"/>
      <c r="AA38" s="72"/>
      <c r="AB38" s="72"/>
      <c r="AC38" s="72"/>
      <c r="AD38" s="72"/>
      <c r="AE38" s="72"/>
      <c r="AF38" s="73"/>
      <c r="AG38" s="71"/>
      <c r="AH38" s="71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</row>
    <row r="39" spans="1:48" ht="23">
      <c r="A39" s="35"/>
      <c r="B39" s="35"/>
      <c r="C39" s="13"/>
      <c r="D39" s="13"/>
      <c r="E39" s="85"/>
      <c r="F39" s="85"/>
      <c r="G39" s="15"/>
      <c r="H39" s="15"/>
      <c r="I39" s="15"/>
      <c r="J39" s="35"/>
      <c r="K39" s="35"/>
      <c r="L39" s="35"/>
      <c r="M39" s="35"/>
      <c r="N39" s="35"/>
      <c r="O39" s="13"/>
      <c r="P39" s="8" t="s">
        <v>29</v>
      </c>
      <c r="Q39" s="7">
        <v>42</v>
      </c>
      <c r="R39" s="87" t="s">
        <v>158</v>
      </c>
      <c r="S39" s="88" t="s">
        <v>84</v>
      </c>
      <c r="T39" s="90">
        <v>731.27</v>
      </c>
      <c r="U39" s="70">
        <v>6.0666666666666664</v>
      </c>
      <c r="V39" s="8" t="s">
        <v>84</v>
      </c>
      <c r="W39" s="8" t="s">
        <v>94</v>
      </c>
      <c r="X39" s="8" t="s">
        <v>94</v>
      </c>
      <c r="Y39" s="8" t="s">
        <v>94</v>
      </c>
      <c r="Z39" s="71"/>
      <c r="AA39" s="72"/>
      <c r="AB39" s="72"/>
      <c r="AC39" s="72"/>
      <c r="AD39" s="72"/>
      <c r="AE39" s="72"/>
      <c r="AF39" s="73"/>
      <c r="AG39" s="71"/>
      <c r="AH39" s="71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</row>
    <row r="40" spans="1:48" ht="23">
      <c r="A40" s="35"/>
      <c r="B40" s="35"/>
      <c r="C40" s="13"/>
      <c r="D40" s="13"/>
      <c r="E40" s="85"/>
      <c r="F40" s="85"/>
      <c r="G40" s="15"/>
      <c r="H40" s="15"/>
      <c r="I40" s="15"/>
      <c r="J40" s="52"/>
      <c r="K40" s="52"/>
      <c r="L40" s="52"/>
      <c r="M40" s="35"/>
      <c r="N40" s="35"/>
      <c r="O40" s="13"/>
      <c r="P40" s="71"/>
      <c r="Q40" s="13"/>
      <c r="R40" s="71"/>
      <c r="S40" s="71"/>
      <c r="T40" s="71"/>
      <c r="U40" s="91"/>
      <c r="V40" s="13"/>
      <c r="W40" s="13"/>
      <c r="X40" s="13"/>
      <c r="Y40" s="85"/>
      <c r="Z40" s="71"/>
      <c r="AA40" s="72"/>
      <c r="AB40" s="72"/>
      <c r="AC40" s="72"/>
      <c r="AD40" s="72"/>
      <c r="AE40" s="72"/>
      <c r="AF40" s="73"/>
      <c r="AG40" s="71"/>
      <c r="AH40" s="71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</row>
    <row r="41" spans="1:48" ht="23">
      <c r="A41" s="35"/>
      <c r="B41" s="35"/>
      <c r="C41" s="51"/>
      <c r="D41" s="51"/>
      <c r="E41" s="85"/>
      <c r="F41" s="85"/>
      <c r="G41" s="92"/>
      <c r="H41" s="93"/>
      <c r="I41" s="92"/>
      <c r="J41" s="35"/>
      <c r="K41" s="35"/>
      <c r="L41" s="35"/>
      <c r="M41" s="35"/>
      <c r="N41" s="35"/>
      <c r="O41" s="13"/>
      <c r="P41" s="71"/>
      <c r="Q41" s="13"/>
      <c r="R41" s="71"/>
      <c r="S41" s="71"/>
      <c r="T41" s="71"/>
      <c r="U41" s="91"/>
      <c r="V41" s="13"/>
      <c r="W41" s="13"/>
      <c r="X41" s="13"/>
      <c r="Y41" s="85"/>
      <c r="Z41" s="71"/>
      <c r="AA41" s="72"/>
      <c r="AB41" s="72"/>
      <c r="AC41" s="72"/>
      <c r="AD41" s="72"/>
      <c r="AE41" s="72"/>
      <c r="AF41" s="73"/>
      <c r="AG41" s="71"/>
      <c r="AH41" s="71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</row>
    <row r="42" spans="1:48" ht="15.5">
      <c r="A42" s="13"/>
      <c r="B42" s="13"/>
      <c r="C42" s="13"/>
      <c r="D42" s="13"/>
      <c r="E42" s="85"/>
      <c r="F42" s="85"/>
      <c r="G42" s="15"/>
      <c r="H42" s="86"/>
      <c r="I42" s="15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91"/>
      <c r="V42" s="13"/>
      <c r="W42" s="13"/>
      <c r="X42" s="13"/>
      <c r="Y42" s="85"/>
      <c r="Z42" s="13"/>
      <c r="AA42" s="15"/>
      <c r="AB42" s="15"/>
      <c r="AC42" s="15"/>
      <c r="AD42" s="15"/>
      <c r="AE42" s="15"/>
      <c r="AF42" s="16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</row>
    <row r="43" spans="1:48" ht="15.5">
      <c r="A43" s="13"/>
      <c r="B43" s="13"/>
      <c r="C43" s="13"/>
      <c r="D43" s="13"/>
      <c r="E43" s="85"/>
      <c r="F43" s="85"/>
      <c r="G43" s="15"/>
      <c r="H43" s="86"/>
      <c r="I43" s="15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91"/>
      <c r="V43" s="13"/>
      <c r="W43" s="13"/>
      <c r="X43" s="13"/>
      <c r="Y43" s="85"/>
      <c r="Z43" s="13"/>
      <c r="AA43" s="15"/>
      <c r="AB43" s="15"/>
      <c r="AC43" s="15"/>
      <c r="AD43" s="15"/>
      <c r="AE43" s="15"/>
      <c r="AF43" s="16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spans="1:48" ht="15.5">
      <c r="A44" s="13"/>
      <c r="B44" s="13"/>
      <c r="C44" s="13"/>
      <c r="D44" s="13"/>
      <c r="E44" s="85"/>
      <c r="F44" s="85"/>
      <c r="G44" s="15"/>
      <c r="H44" s="15"/>
      <c r="I44" s="15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91"/>
      <c r="V44" s="13"/>
      <c r="W44" s="13"/>
      <c r="X44" s="13"/>
      <c r="Y44" s="85"/>
      <c r="Z44" s="13"/>
      <c r="AA44" s="15"/>
      <c r="AB44" s="15"/>
      <c r="AC44" s="15"/>
      <c r="AD44" s="15"/>
      <c r="AE44" s="15"/>
      <c r="AF44" s="16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</row>
    <row r="45" spans="1:48" ht="15.5">
      <c r="A45" s="13"/>
      <c r="B45" s="13"/>
      <c r="C45" s="13"/>
      <c r="D45" s="13"/>
      <c r="E45" s="85"/>
      <c r="F45" s="85"/>
      <c r="G45" s="15"/>
      <c r="H45" s="15"/>
      <c r="I45" s="15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91"/>
      <c r="V45" s="13"/>
      <c r="W45" s="13"/>
      <c r="X45" s="13"/>
      <c r="Y45" s="85"/>
      <c r="Z45" s="13"/>
      <c r="AA45" s="15"/>
      <c r="AB45" s="15"/>
      <c r="AC45" s="15"/>
      <c r="AD45" s="15"/>
      <c r="AE45" s="15"/>
      <c r="AF45" s="16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</row>
    <row r="46" spans="1:48" ht="15.5">
      <c r="A46" s="13"/>
      <c r="B46" s="13"/>
      <c r="C46" s="13"/>
      <c r="D46" s="13"/>
      <c r="E46" s="85"/>
      <c r="F46" s="85"/>
      <c r="G46" s="15"/>
      <c r="H46" s="94"/>
      <c r="I46" s="15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91"/>
      <c r="V46" s="13"/>
      <c r="W46" s="13"/>
      <c r="X46" s="13"/>
      <c r="Y46" s="85"/>
      <c r="Z46" s="13"/>
      <c r="AA46" s="15"/>
      <c r="AB46" s="15"/>
      <c r="AC46" s="15"/>
      <c r="AD46" s="15"/>
      <c r="AE46" s="15"/>
      <c r="AF46" s="16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</row>
    <row r="47" spans="1:48" ht="15.5">
      <c r="A47" s="13"/>
      <c r="B47" s="13"/>
      <c r="C47" s="13"/>
      <c r="D47" s="13"/>
      <c r="E47" s="85"/>
      <c r="F47" s="85"/>
      <c r="G47" s="15"/>
      <c r="H47" s="15"/>
      <c r="I47" s="15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91"/>
      <c r="V47" s="13"/>
      <c r="W47" s="13"/>
      <c r="X47" s="13"/>
      <c r="Y47" s="85"/>
      <c r="Z47" s="13"/>
      <c r="AA47" s="15"/>
      <c r="AB47" s="15"/>
      <c r="AC47" s="15"/>
      <c r="AD47" s="15"/>
      <c r="AE47" s="15"/>
      <c r="AF47" s="16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</row>
    <row r="48" spans="1: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5"/>
      <c r="AB48" s="15"/>
      <c r="AC48" s="15"/>
      <c r="AD48" s="15"/>
      <c r="AE48" s="15"/>
      <c r="AF48" s="16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</row>
    <row r="49" spans="1:48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5"/>
      <c r="AB49" s="15"/>
      <c r="AC49" s="15"/>
      <c r="AD49" s="15"/>
      <c r="AE49" s="15"/>
      <c r="AF49" s="16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 spans="1:48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5"/>
      <c r="AB50" s="15"/>
      <c r="AC50" s="15"/>
      <c r="AD50" s="15"/>
      <c r="AE50" s="15"/>
      <c r="AF50" s="16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</row>
    <row r="51" spans="1:48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5"/>
      <c r="AB51" s="15"/>
      <c r="AC51" s="15"/>
      <c r="AD51" s="15"/>
      <c r="AE51" s="15"/>
      <c r="AF51" s="16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</row>
    <row r="52" spans="1:48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5"/>
      <c r="AB52" s="15"/>
      <c r="AC52" s="15"/>
      <c r="AD52" s="15"/>
      <c r="AE52" s="15"/>
      <c r="AF52" s="16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</row>
    <row r="53" spans="1:48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5"/>
      <c r="AB53" s="15"/>
      <c r="AC53" s="15"/>
      <c r="AD53" s="15"/>
      <c r="AE53" s="15"/>
      <c r="AF53" s="16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</row>
    <row r="54" spans="1:48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5"/>
      <c r="AB54" s="15"/>
      <c r="AC54" s="15"/>
      <c r="AD54" s="15"/>
      <c r="AE54" s="15"/>
      <c r="AF54" s="16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</row>
    <row r="55" spans="1:48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5"/>
      <c r="AB55" s="15"/>
      <c r="AC55" s="15"/>
      <c r="AD55" s="15"/>
      <c r="AE55" s="15"/>
      <c r="AF55" s="16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</row>
    <row r="56" spans="1:48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5"/>
      <c r="AB56" s="15"/>
      <c r="AC56" s="15"/>
      <c r="AD56" s="15"/>
      <c r="AE56" s="15"/>
      <c r="AF56" s="16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</row>
    <row r="57" spans="1:48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5"/>
      <c r="AB57" s="15"/>
      <c r="AC57" s="15"/>
      <c r="AD57" s="15"/>
      <c r="AE57" s="15"/>
      <c r="AF57" s="16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</row>
    <row r="58" spans="1:4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5"/>
      <c r="AB58" s="15"/>
      <c r="AC58" s="15"/>
      <c r="AD58" s="15"/>
      <c r="AE58" s="15"/>
      <c r="AF58" s="16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</row>
    <row r="59" spans="1:48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5"/>
      <c r="AB59" s="15"/>
      <c r="AC59" s="15"/>
      <c r="AD59" s="15"/>
      <c r="AE59" s="15"/>
      <c r="AF59" s="16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</row>
    <row r="60" spans="1:48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5"/>
      <c r="AB60" s="15"/>
      <c r="AC60" s="15"/>
      <c r="AD60" s="15"/>
      <c r="AE60" s="15"/>
      <c r="AF60" s="16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</row>
    <row r="61" spans="1:48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5"/>
      <c r="AB61" s="15"/>
      <c r="AC61" s="15"/>
      <c r="AD61" s="15"/>
      <c r="AE61" s="15"/>
      <c r="AF61" s="16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</row>
    <row r="62" spans="1:48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5"/>
      <c r="AB62" s="15"/>
      <c r="AC62" s="15"/>
      <c r="AD62" s="15"/>
      <c r="AE62" s="15"/>
      <c r="AF62" s="16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</row>
    <row r="63" spans="1:48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5"/>
      <c r="AB63" s="15"/>
      <c r="AC63" s="15"/>
      <c r="AD63" s="15"/>
      <c r="AE63" s="15"/>
      <c r="AF63" s="16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</row>
    <row r="64" spans="1:48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5"/>
      <c r="AB64" s="15"/>
      <c r="AC64" s="15"/>
      <c r="AD64" s="15"/>
      <c r="AE64" s="15"/>
      <c r="AF64" s="16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</row>
    <row r="65" spans="1:48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5"/>
      <c r="AB65" s="15"/>
      <c r="AC65" s="15"/>
      <c r="AD65" s="15"/>
      <c r="AE65" s="15"/>
      <c r="AF65" s="16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</row>
    <row r="66" spans="1:48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5"/>
      <c r="AB66" s="15"/>
      <c r="AC66" s="15"/>
      <c r="AD66" s="15"/>
      <c r="AE66" s="15"/>
      <c r="AF66" s="16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</row>
    <row r="67" spans="1:48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5"/>
      <c r="AB67" s="15"/>
      <c r="AC67" s="15"/>
      <c r="AD67" s="15"/>
      <c r="AE67" s="15"/>
      <c r="AF67" s="16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</row>
    <row r="68" spans="1:4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5"/>
      <c r="AB68" s="15"/>
      <c r="AC68" s="15"/>
      <c r="AD68" s="15"/>
      <c r="AE68" s="15"/>
      <c r="AF68" s="16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</row>
    <row r="69" spans="1:48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5"/>
      <c r="AB69" s="15"/>
      <c r="AC69" s="15"/>
      <c r="AD69" s="15"/>
      <c r="AE69" s="15"/>
      <c r="AF69" s="16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</row>
    <row r="70" spans="1:48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5"/>
      <c r="AB70" s="15"/>
      <c r="AC70" s="15"/>
      <c r="AD70" s="15"/>
      <c r="AE70" s="15"/>
      <c r="AF70" s="16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</row>
    <row r="71" spans="1:48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5"/>
      <c r="AB71" s="15"/>
      <c r="AC71" s="15"/>
      <c r="AD71" s="15"/>
      <c r="AE71" s="15"/>
      <c r="AF71" s="16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</row>
    <row r="72" spans="1:48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5"/>
      <c r="AB72" s="15"/>
      <c r="AC72" s="15"/>
      <c r="AD72" s="15"/>
      <c r="AE72" s="15"/>
      <c r="AF72" s="16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</row>
    <row r="73" spans="1:48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5"/>
      <c r="AB73" s="15"/>
      <c r="AC73" s="15"/>
      <c r="AD73" s="15"/>
      <c r="AE73" s="15"/>
      <c r="AF73" s="16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</row>
    <row r="74" spans="1:48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5"/>
      <c r="AB74" s="15"/>
      <c r="AC74" s="15"/>
      <c r="AD74" s="15"/>
      <c r="AE74" s="15"/>
      <c r="AF74" s="16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</row>
    <row r="75" spans="1:48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5"/>
      <c r="AB75" s="15"/>
      <c r="AC75" s="15"/>
      <c r="AD75" s="15"/>
      <c r="AE75" s="15"/>
      <c r="AF75" s="16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</row>
    <row r="76" spans="1:48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5"/>
      <c r="AB76" s="15"/>
      <c r="AC76" s="15"/>
      <c r="AD76" s="15"/>
      <c r="AE76" s="15"/>
      <c r="AF76" s="16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</row>
    <row r="77" spans="1:48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5"/>
      <c r="AB77" s="15"/>
      <c r="AC77" s="15"/>
      <c r="AD77" s="15"/>
      <c r="AE77" s="15"/>
      <c r="AF77" s="16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</row>
    <row r="78" spans="1:4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5"/>
      <c r="AB78" s="15"/>
      <c r="AC78" s="15"/>
      <c r="AD78" s="15"/>
      <c r="AE78" s="15"/>
      <c r="AF78" s="16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</row>
    <row r="79" spans="1:48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5"/>
      <c r="AB79" s="15"/>
      <c r="AC79" s="15"/>
      <c r="AD79" s="15"/>
      <c r="AE79" s="15"/>
      <c r="AF79" s="16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</row>
    <row r="80" spans="1:48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5"/>
      <c r="AB80" s="15"/>
      <c r="AC80" s="15"/>
      <c r="AD80" s="15"/>
      <c r="AE80" s="15"/>
      <c r="AF80" s="16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</row>
    <row r="81" spans="1:48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5"/>
      <c r="AB81" s="15"/>
      <c r="AC81" s="15"/>
      <c r="AD81" s="15"/>
      <c r="AE81" s="15"/>
      <c r="AF81" s="16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</row>
    <row r="82" spans="1:48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5"/>
      <c r="AB82" s="15"/>
      <c r="AC82" s="15"/>
      <c r="AD82" s="15"/>
      <c r="AE82" s="15"/>
      <c r="AF82" s="16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</row>
    <row r="83" spans="1:48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5"/>
      <c r="AB83" s="15"/>
      <c r="AC83" s="15"/>
      <c r="AD83" s="15"/>
      <c r="AE83" s="15"/>
      <c r="AF83" s="16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</row>
    <row r="84" spans="1:48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5"/>
      <c r="AB84" s="15"/>
      <c r="AC84" s="15"/>
      <c r="AD84" s="15"/>
      <c r="AE84" s="15"/>
      <c r="AF84" s="16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</row>
    <row r="85" spans="1:48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5"/>
      <c r="AB85" s="15"/>
      <c r="AC85" s="15"/>
      <c r="AD85" s="15"/>
      <c r="AE85" s="15"/>
      <c r="AF85" s="16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</row>
    <row r="86" spans="1:48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5"/>
      <c r="AB86" s="15"/>
      <c r="AC86" s="15"/>
      <c r="AD86" s="15"/>
      <c r="AE86" s="15"/>
      <c r="AF86" s="16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</row>
    <row r="87" spans="1:48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5"/>
      <c r="AB87" s="15"/>
      <c r="AC87" s="15"/>
      <c r="AD87" s="15"/>
      <c r="AE87" s="15"/>
      <c r="AF87" s="16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</row>
    <row r="88" spans="1:4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5"/>
      <c r="AB88" s="15"/>
      <c r="AC88" s="15"/>
      <c r="AD88" s="15"/>
      <c r="AE88" s="15"/>
      <c r="AF88" s="16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</row>
    <row r="89" spans="1:48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5"/>
      <c r="AB89" s="15"/>
      <c r="AC89" s="15"/>
      <c r="AD89" s="15"/>
      <c r="AE89" s="15"/>
      <c r="AF89" s="16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</row>
    <row r="90" spans="1:48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5"/>
      <c r="AB90" s="15"/>
      <c r="AC90" s="15"/>
      <c r="AD90" s="15"/>
      <c r="AE90" s="15"/>
      <c r="AF90" s="16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</row>
    <row r="91" spans="1:48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5"/>
      <c r="AB91" s="15"/>
      <c r="AC91" s="15"/>
      <c r="AD91" s="15"/>
      <c r="AE91" s="15"/>
      <c r="AF91" s="16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</row>
    <row r="92" spans="1:48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5"/>
      <c r="AB92" s="15"/>
      <c r="AC92" s="15"/>
      <c r="AD92" s="15"/>
      <c r="AE92" s="15"/>
      <c r="AF92" s="16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</row>
    <row r="93" spans="1:48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5"/>
      <c r="AB93" s="15"/>
      <c r="AC93" s="15"/>
      <c r="AD93" s="15"/>
      <c r="AE93" s="15"/>
      <c r="AF93" s="16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</row>
    <row r="94" spans="1:48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5"/>
      <c r="AB94" s="15"/>
      <c r="AC94" s="15"/>
      <c r="AD94" s="15"/>
      <c r="AE94" s="15"/>
      <c r="AF94" s="16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</row>
    <row r="95" spans="1:48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5"/>
      <c r="AB95" s="15"/>
      <c r="AC95" s="15"/>
      <c r="AD95" s="15"/>
      <c r="AE95" s="15"/>
      <c r="AF95" s="16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</row>
    <row r="96" spans="1:48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5"/>
      <c r="AB96" s="15"/>
      <c r="AC96" s="15"/>
      <c r="AD96" s="15"/>
      <c r="AE96" s="15"/>
      <c r="AF96" s="16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</row>
    <row r="97" spans="1:48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5"/>
      <c r="AB97" s="15"/>
      <c r="AC97" s="15"/>
      <c r="AD97" s="15"/>
      <c r="AE97" s="15"/>
      <c r="AF97" s="16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</row>
    <row r="98" spans="1:4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5"/>
      <c r="AB98" s="15"/>
      <c r="AC98" s="15"/>
      <c r="AD98" s="15"/>
      <c r="AE98" s="15"/>
      <c r="AF98" s="16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</row>
    <row r="99" spans="1:48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5"/>
      <c r="AB99" s="15"/>
      <c r="AC99" s="15"/>
      <c r="AD99" s="15"/>
      <c r="AE99" s="15"/>
      <c r="AF99" s="16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</row>
    <row r="100" spans="1:48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5"/>
      <c r="AB100" s="15"/>
      <c r="AC100" s="15"/>
      <c r="AD100" s="15"/>
      <c r="AE100" s="15"/>
      <c r="AF100" s="16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</row>
    <row r="101" spans="1:48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5"/>
      <c r="AB101" s="15"/>
      <c r="AC101" s="15"/>
      <c r="AD101" s="15"/>
      <c r="AE101" s="15"/>
      <c r="AF101" s="16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</row>
    <row r="102" spans="1:48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5"/>
      <c r="AB102" s="15"/>
      <c r="AC102" s="15"/>
      <c r="AD102" s="15"/>
      <c r="AE102" s="15"/>
      <c r="AF102" s="16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</row>
    <row r="103" spans="1:48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5"/>
      <c r="AB103" s="15"/>
      <c r="AC103" s="15"/>
      <c r="AD103" s="15"/>
      <c r="AE103" s="15"/>
      <c r="AF103" s="16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</row>
    <row r="104" spans="1:48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5"/>
      <c r="AB104" s="15"/>
      <c r="AC104" s="15"/>
      <c r="AD104" s="15"/>
      <c r="AE104" s="15"/>
      <c r="AF104" s="16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</row>
    <row r="105" spans="1:48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5"/>
      <c r="AB105" s="15"/>
      <c r="AC105" s="15"/>
      <c r="AD105" s="15"/>
      <c r="AE105" s="15"/>
      <c r="AF105" s="16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</row>
    <row r="106" spans="1:48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5"/>
      <c r="AB106" s="15"/>
      <c r="AC106" s="15"/>
      <c r="AD106" s="15"/>
      <c r="AE106" s="15"/>
      <c r="AF106" s="16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</row>
    <row r="107" spans="1:48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5"/>
      <c r="AB107" s="15"/>
      <c r="AC107" s="15"/>
      <c r="AD107" s="15"/>
      <c r="AE107" s="15"/>
      <c r="AF107" s="16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</row>
    <row r="108" spans="1:4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5"/>
      <c r="AB108" s="15"/>
      <c r="AC108" s="15"/>
      <c r="AD108" s="15"/>
      <c r="AE108" s="15"/>
      <c r="AF108" s="16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</row>
    <row r="109" spans="1:48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5"/>
      <c r="AB109" s="15"/>
      <c r="AC109" s="15"/>
      <c r="AD109" s="15"/>
      <c r="AE109" s="15"/>
      <c r="AF109" s="16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</row>
    <row r="110" spans="1:48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5"/>
      <c r="AB110" s="15"/>
      <c r="AC110" s="15"/>
      <c r="AD110" s="15"/>
      <c r="AE110" s="15"/>
      <c r="AF110" s="16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</row>
    <row r="111" spans="1:48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5"/>
      <c r="AB111" s="15"/>
      <c r="AC111" s="15"/>
      <c r="AD111" s="15"/>
      <c r="AE111" s="15"/>
      <c r="AF111" s="16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</row>
    <row r="112" spans="1:48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5"/>
      <c r="AB112" s="15"/>
      <c r="AC112" s="15"/>
      <c r="AD112" s="15"/>
      <c r="AE112" s="15"/>
      <c r="AF112" s="16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</row>
    <row r="113" spans="1:48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5"/>
      <c r="AB113" s="15"/>
      <c r="AC113" s="15"/>
      <c r="AD113" s="15"/>
      <c r="AE113" s="15"/>
      <c r="AF113" s="16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</row>
    <row r="114" spans="1:48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5"/>
      <c r="AB114" s="15"/>
      <c r="AC114" s="15"/>
      <c r="AD114" s="15"/>
      <c r="AE114" s="15"/>
      <c r="AF114" s="16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</row>
    <row r="115" spans="1:48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5"/>
      <c r="AB115" s="15"/>
      <c r="AC115" s="15"/>
      <c r="AD115" s="15"/>
      <c r="AE115" s="15"/>
      <c r="AF115" s="16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</row>
    <row r="116" spans="1:48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5"/>
      <c r="AB116" s="15"/>
      <c r="AC116" s="15"/>
      <c r="AD116" s="15"/>
      <c r="AE116" s="15"/>
      <c r="AF116" s="16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</row>
    <row r="117" spans="1:48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5"/>
      <c r="AB117" s="15"/>
      <c r="AC117" s="15"/>
      <c r="AD117" s="15"/>
      <c r="AE117" s="15"/>
      <c r="AF117" s="16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</row>
    <row r="118" spans="1:4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5"/>
      <c r="AB118" s="15"/>
      <c r="AC118" s="15"/>
      <c r="AD118" s="15"/>
      <c r="AE118" s="15"/>
      <c r="AF118" s="16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</row>
    <row r="119" spans="1:48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5"/>
      <c r="AB119" s="15"/>
      <c r="AC119" s="15"/>
      <c r="AD119" s="15"/>
      <c r="AE119" s="15"/>
      <c r="AF119" s="16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</row>
    <row r="120" spans="1:48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5"/>
      <c r="AB120" s="15"/>
      <c r="AC120" s="15"/>
      <c r="AD120" s="15"/>
      <c r="AE120" s="15"/>
      <c r="AF120" s="16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</row>
    <row r="121" spans="1:48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5"/>
      <c r="AB121" s="15"/>
      <c r="AC121" s="15"/>
      <c r="AD121" s="15"/>
      <c r="AE121" s="15"/>
      <c r="AF121" s="16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</row>
    <row r="122" spans="1:48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5"/>
      <c r="AB122" s="15"/>
      <c r="AC122" s="15"/>
      <c r="AD122" s="15"/>
      <c r="AE122" s="15"/>
      <c r="AF122" s="16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</row>
    <row r="123" spans="1:48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5"/>
      <c r="AB123" s="15"/>
      <c r="AC123" s="15"/>
      <c r="AD123" s="15"/>
      <c r="AE123" s="15"/>
      <c r="AF123" s="16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</row>
    <row r="124" spans="1:48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5"/>
      <c r="AB124" s="15"/>
      <c r="AC124" s="15"/>
      <c r="AD124" s="15"/>
      <c r="AE124" s="15"/>
      <c r="AF124" s="16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</row>
    <row r="125" spans="1:48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5"/>
      <c r="AB125" s="15"/>
      <c r="AC125" s="15"/>
      <c r="AD125" s="15"/>
      <c r="AE125" s="15"/>
      <c r="AF125" s="16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</row>
    <row r="126" spans="1:48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5"/>
      <c r="AB126" s="15"/>
      <c r="AC126" s="15"/>
      <c r="AD126" s="15"/>
      <c r="AE126" s="15"/>
      <c r="AF126" s="16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</row>
    <row r="127" spans="1:48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5"/>
      <c r="AB127" s="15"/>
      <c r="AC127" s="15"/>
      <c r="AD127" s="15"/>
      <c r="AE127" s="15"/>
      <c r="AF127" s="16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</row>
    <row r="128" spans="1:4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5"/>
      <c r="AB128" s="15"/>
      <c r="AC128" s="15"/>
      <c r="AD128" s="15"/>
      <c r="AE128" s="15"/>
      <c r="AF128" s="16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</row>
    <row r="129" spans="1:48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5"/>
      <c r="AB129" s="15"/>
      <c r="AC129" s="15"/>
      <c r="AD129" s="15"/>
      <c r="AE129" s="15"/>
      <c r="AF129" s="16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</row>
    <row r="130" spans="1:48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5"/>
      <c r="AB130" s="15"/>
      <c r="AC130" s="15"/>
      <c r="AD130" s="15"/>
      <c r="AE130" s="15"/>
      <c r="AF130" s="16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</row>
    <row r="131" spans="1:48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5"/>
      <c r="AB131" s="15"/>
      <c r="AC131" s="15"/>
      <c r="AD131" s="15"/>
      <c r="AE131" s="15"/>
      <c r="AF131" s="16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</row>
    <row r="132" spans="1:48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5"/>
      <c r="AB132" s="15"/>
      <c r="AC132" s="15"/>
      <c r="AD132" s="15"/>
      <c r="AE132" s="15"/>
      <c r="AF132" s="16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</row>
    <row r="133" spans="1:48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5"/>
      <c r="AB133" s="15"/>
      <c r="AC133" s="15"/>
      <c r="AD133" s="15"/>
      <c r="AE133" s="15"/>
      <c r="AF133" s="16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</row>
    <row r="134" spans="1:48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5"/>
      <c r="AB134" s="15"/>
      <c r="AC134" s="15"/>
      <c r="AD134" s="15"/>
      <c r="AE134" s="15"/>
      <c r="AF134" s="16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</row>
    <row r="135" spans="1:48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5"/>
      <c r="AB135" s="15"/>
      <c r="AC135" s="15"/>
      <c r="AD135" s="15"/>
      <c r="AE135" s="15"/>
      <c r="AF135" s="16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</row>
    <row r="136" spans="1:48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5"/>
      <c r="AB136" s="15"/>
      <c r="AC136" s="15"/>
      <c r="AD136" s="15"/>
      <c r="AE136" s="15"/>
      <c r="AF136" s="16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</row>
    <row r="137" spans="1:48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5"/>
      <c r="AB137" s="15"/>
      <c r="AC137" s="15"/>
      <c r="AD137" s="15"/>
      <c r="AE137" s="15"/>
      <c r="AF137" s="16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</row>
    <row r="138" spans="1:4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5"/>
      <c r="AB138" s="15"/>
      <c r="AC138" s="15"/>
      <c r="AD138" s="15"/>
      <c r="AE138" s="15"/>
      <c r="AF138" s="16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</row>
    <row r="139" spans="1:48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5"/>
      <c r="AB139" s="15"/>
      <c r="AC139" s="15"/>
      <c r="AD139" s="15"/>
      <c r="AE139" s="15"/>
      <c r="AF139" s="16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</row>
    <row r="140" spans="1:48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5"/>
      <c r="AB140" s="15"/>
      <c r="AC140" s="15"/>
      <c r="AD140" s="15"/>
      <c r="AE140" s="15"/>
      <c r="AF140" s="16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</row>
    <row r="141" spans="1:48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5"/>
      <c r="AB141" s="15"/>
      <c r="AC141" s="15"/>
      <c r="AD141" s="15"/>
      <c r="AE141" s="15"/>
      <c r="AF141" s="16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</row>
    <row r="142" spans="1:48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5"/>
      <c r="AB142" s="15"/>
      <c r="AC142" s="15"/>
      <c r="AD142" s="15"/>
      <c r="AE142" s="15"/>
      <c r="AF142" s="16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</row>
    <row r="143" spans="1:48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5"/>
      <c r="AB143" s="15"/>
      <c r="AC143" s="15"/>
      <c r="AD143" s="15"/>
      <c r="AE143" s="15"/>
      <c r="AF143" s="16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</row>
    <row r="144" spans="1:48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5"/>
      <c r="AB144" s="15"/>
      <c r="AC144" s="15"/>
      <c r="AD144" s="15"/>
      <c r="AE144" s="15"/>
      <c r="AF144" s="16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</row>
    <row r="145" spans="1:48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5"/>
      <c r="AB145" s="15"/>
      <c r="AC145" s="15"/>
      <c r="AD145" s="15"/>
      <c r="AE145" s="15"/>
      <c r="AF145" s="16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</row>
    <row r="146" spans="1:48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5"/>
      <c r="AB146" s="15"/>
      <c r="AC146" s="15"/>
      <c r="AD146" s="15"/>
      <c r="AE146" s="15"/>
      <c r="AF146" s="16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</row>
    <row r="147" spans="1:48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5"/>
      <c r="AB147" s="15"/>
      <c r="AC147" s="15"/>
      <c r="AD147" s="15"/>
      <c r="AE147" s="15"/>
      <c r="AF147" s="16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</row>
    <row r="148" spans="1: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5"/>
      <c r="AB148" s="15"/>
      <c r="AC148" s="15"/>
      <c r="AD148" s="15"/>
      <c r="AE148" s="15"/>
      <c r="AF148" s="16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</row>
    <row r="149" spans="1:48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5"/>
      <c r="AB149" s="15"/>
      <c r="AC149" s="15"/>
      <c r="AD149" s="15"/>
      <c r="AE149" s="15"/>
      <c r="AF149" s="16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</row>
    <row r="150" spans="1:48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5"/>
      <c r="AB150" s="15"/>
      <c r="AC150" s="15"/>
      <c r="AD150" s="15"/>
      <c r="AE150" s="15"/>
      <c r="AF150" s="16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</row>
    <row r="151" spans="1:48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5"/>
      <c r="AB151" s="15"/>
      <c r="AC151" s="15"/>
      <c r="AD151" s="15"/>
      <c r="AE151" s="15"/>
      <c r="AF151" s="16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</row>
    <row r="152" spans="1:48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5"/>
      <c r="AB152" s="15"/>
      <c r="AC152" s="15"/>
      <c r="AD152" s="15"/>
      <c r="AE152" s="15"/>
      <c r="AF152" s="16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</row>
    <row r="153" spans="1:48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5"/>
      <c r="AB153" s="15"/>
      <c r="AC153" s="15"/>
      <c r="AD153" s="15"/>
      <c r="AE153" s="15"/>
      <c r="AF153" s="16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</row>
    <row r="154" spans="1:48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5"/>
      <c r="AB154" s="15"/>
      <c r="AC154" s="15"/>
      <c r="AD154" s="15"/>
      <c r="AE154" s="15"/>
      <c r="AF154" s="16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</row>
    <row r="155" spans="1:48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5"/>
      <c r="AB155" s="15"/>
      <c r="AC155" s="15"/>
      <c r="AD155" s="15"/>
      <c r="AE155" s="15"/>
      <c r="AF155" s="16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</row>
    <row r="156" spans="1:48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5"/>
      <c r="AB156" s="15"/>
      <c r="AC156" s="15"/>
      <c r="AD156" s="15"/>
      <c r="AE156" s="15"/>
      <c r="AF156" s="16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</row>
    <row r="157" spans="1:48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5"/>
      <c r="AB157" s="15"/>
      <c r="AC157" s="15"/>
      <c r="AD157" s="15"/>
      <c r="AE157" s="15"/>
      <c r="AF157" s="16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</row>
    <row r="158" spans="1:4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5"/>
      <c r="AB158" s="15"/>
      <c r="AC158" s="15"/>
      <c r="AD158" s="15"/>
      <c r="AE158" s="15"/>
      <c r="AF158" s="16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</row>
    <row r="159" spans="1:48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5"/>
      <c r="AB159" s="15"/>
      <c r="AC159" s="15"/>
      <c r="AD159" s="15"/>
      <c r="AE159" s="15"/>
      <c r="AF159" s="16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</row>
    <row r="160" spans="1:48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5"/>
      <c r="AB160" s="15"/>
      <c r="AC160" s="15"/>
      <c r="AD160" s="15"/>
      <c r="AE160" s="15"/>
      <c r="AF160" s="16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</row>
    <row r="161" spans="1:48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5"/>
      <c r="AB161" s="15"/>
      <c r="AC161" s="15"/>
      <c r="AD161" s="15"/>
      <c r="AE161" s="15"/>
      <c r="AF161" s="16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</row>
    <row r="162" spans="1:48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5"/>
      <c r="AB162" s="15"/>
      <c r="AC162" s="15"/>
      <c r="AD162" s="15"/>
      <c r="AE162" s="15"/>
      <c r="AF162" s="16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</row>
    <row r="163" spans="1:48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5"/>
      <c r="AB163" s="15"/>
      <c r="AC163" s="15"/>
      <c r="AD163" s="15"/>
      <c r="AE163" s="15"/>
      <c r="AF163" s="16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</row>
    <row r="164" spans="1:48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5"/>
      <c r="AB164" s="15"/>
      <c r="AC164" s="15"/>
      <c r="AD164" s="15"/>
      <c r="AE164" s="15"/>
      <c r="AF164" s="16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</row>
    <row r="165" spans="1:48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5"/>
      <c r="AB165" s="15"/>
      <c r="AC165" s="15"/>
      <c r="AD165" s="15"/>
      <c r="AE165" s="15"/>
      <c r="AF165" s="16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</row>
    <row r="166" spans="1:48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5"/>
      <c r="AB166" s="15"/>
      <c r="AC166" s="15"/>
      <c r="AD166" s="15"/>
      <c r="AE166" s="15"/>
      <c r="AF166" s="16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</row>
    <row r="167" spans="1:48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5"/>
      <c r="AB167" s="15"/>
      <c r="AC167" s="15"/>
      <c r="AD167" s="15"/>
      <c r="AE167" s="15"/>
      <c r="AF167" s="16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</row>
    <row r="168" spans="1:4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5"/>
      <c r="AB168" s="15"/>
      <c r="AC168" s="15"/>
      <c r="AD168" s="15"/>
      <c r="AE168" s="15"/>
      <c r="AF168" s="16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</row>
    <row r="169" spans="1:48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5"/>
      <c r="AB169" s="15"/>
      <c r="AC169" s="15"/>
      <c r="AD169" s="15"/>
      <c r="AE169" s="15"/>
      <c r="AF169" s="16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</row>
    <row r="170" spans="1:48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5"/>
      <c r="AB170" s="15"/>
      <c r="AC170" s="15"/>
      <c r="AD170" s="15"/>
      <c r="AE170" s="15"/>
      <c r="AF170" s="16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</row>
    <row r="171" spans="1:48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5"/>
      <c r="AB171" s="15"/>
      <c r="AC171" s="15"/>
      <c r="AD171" s="15"/>
      <c r="AE171" s="15"/>
      <c r="AF171" s="16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</row>
    <row r="172" spans="1:48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5"/>
      <c r="AB172" s="15"/>
      <c r="AC172" s="15"/>
      <c r="AD172" s="15"/>
      <c r="AE172" s="15"/>
      <c r="AF172" s="16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</row>
    <row r="173" spans="1:48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5"/>
      <c r="AB173" s="15"/>
      <c r="AC173" s="15"/>
      <c r="AD173" s="15"/>
      <c r="AE173" s="15"/>
      <c r="AF173" s="16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</row>
    <row r="174" spans="1:48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5"/>
      <c r="AB174" s="15"/>
      <c r="AC174" s="15"/>
      <c r="AD174" s="15"/>
      <c r="AE174" s="15"/>
      <c r="AF174" s="16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</row>
    <row r="175" spans="1:48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5"/>
      <c r="AB175" s="15"/>
      <c r="AC175" s="15"/>
      <c r="AD175" s="15"/>
      <c r="AE175" s="15"/>
      <c r="AF175" s="16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</row>
    <row r="176" spans="1:48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5"/>
      <c r="AB176" s="15"/>
      <c r="AC176" s="15"/>
      <c r="AD176" s="15"/>
      <c r="AE176" s="15"/>
      <c r="AF176" s="16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</row>
    <row r="177" spans="1:48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5"/>
      <c r="AB177" s="15"/>
      <c r="AC177" s="15"/>
      <c r="AD177" s="15"/>
      <c r="AE177" s="15"/>
      <c r="AF177" s="16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</row>
    <row r="178" spans="1:4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5"/>
      <c r="AB178" s="15"/>
      <c r="AC178" s="15"/>
      <c r="AD178" s="15"/>
      <c r="AE178" s="15"/>
      <c r="AF178" s="16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</row>
    <row r="179" spans="1:48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5"/>
      <c r="AB179" s="15"/>
      <c r="AC179" s="15"/>
      <c r="AD179" s="15"/>
      <c r="AE179" s="15"/>
      <c r="AF179" s="16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</row>
    <row r="180" spans="1:48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5"/>
      <c r="AB180" s="15"/>
      <c r="AC180" s="15"/>
      <c r="AD180" s="15"/>
      <c r="AE180" s="15"/>
      <c r="AF180" s="16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</row>
    <row r="181" spans="1:48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5"/>
      <c r="AB181" s="15"/>
      <c r="AC181" s="15"/>
      <c r="AD181" s="15"/>
      <c r="AE181" s="15"/>
      <c r="AF181" s="16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</row>
    <row r="182" spans="1:48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5"/>
      <c r="AB182" s="15"/>
      <c r="AC182" s="15"/>
      <c r="AD182" s="15"/>
      <c r="AE182" s="15"/>
      <c r="AF182" s="16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</row>
    <row r="183" spans="1:48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5"/>
      <c r="AB183" s="15"/>
      <c r="AC183" s="15"/>
      <c r="AD183" s="15"/>
      <c r="AE183" s="15"/>
      <c r="AF183" s="16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</row>
    <row r="184" spans="1:48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5"/>
      <c r="AB184" s="15"/>
      <c r="AC184" s="15"/>
      <c r="AD184" s="15"/>
      <c r="AE184" s="15"/>
      <c r="AF184" s="16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</row>
    <row r="185" spans="1:48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5"/>
      <c r="AB185" s="15"/>
      <c r="AC185" s="15"/>
      <c r="AD185" s="15"/>
      <c r="AE185" s="15"/>
      <c r="AF185" s="16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</row>
    <row r="186" spans="1:48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5"/>
      <c r="AB186" s="15"/>
      <c r="AC186" s="15"/>
      <c r="AD186" s="15"/>
      <c r="AE186" s="15"/>
      <c r="AF186" s="16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</row>
    <row r="187" spans="1:48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5"/>
      <c r="AB187" s="15"/>
      <c r="AC187" s="15"/>
      <c r="AD187" s="15"/>
      <c r="AE187" s="15"/>
      <c r="AF187" s="16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</row>
    <row r="188" spans="1:4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5"/>
      <c r="AB188" s="15"/>
      <c r="AC188" s="15"/>
      <c r="AD188" s="15"/>
      <c r="AE188" s="15"/>
      <c r="AF188" s="16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</row>
    <row r="189" spans="1:48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5"/>
      <c r="AB189" s="15"/>
      <c r="AC189" s="15"/>
      <c r="AD189" s="15"/>
      <c r="AE189" s="15"/>
      <c r="AF189" s="16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</row>
    <row r="190" spans="1:48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5"/>
      <c r="AB190" s="15"/>
      <c r="AC190" s="15"/>
      <c r="AD190" s="15"/>
      <c r="AE190" s="15"/>
      <c r="AF190" s="16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</row>
    <row r="191" spans="1:48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5"/>
      <c r="AB191" s="15"/>
      <c r="AC191" s="15"/>
      <c r="AD191" s="15"/>
      <c r="AE191" s="15"/>
      <c r="AF191" s="16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</row>
    <row r="192" spans="1:48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5"/>
      <c r="AB192" s="15"/>
      <c r="AC192" s="15"/>
      <c r="AD192" s="15"/>
      <c r="AE192" s="15"/>
      <c r="AF192" s="16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</row>
    <row r="193" spans="1:48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5"/>
      <c r="AB193" s="15"/>
      <c r="AC193" s="15"/>
      <c r="AD193" s="15"/>
      <c r="AE193" s="15"/>
      <c r="AF193" s="16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</row>
    <row r="194" spans="1:48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5"/>
      <c r="AB194" s="15"/>
      <c r="AC194" s="15"/>
      <c r="AD194" s="15"/>
      <c r="AE194" s="15"/>
      <c r="AF194" s="16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</row>
    <row r="195" spans="1:48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5"/>
      <c r="AB195" s="15"/>
      <c r="AC195" s="15"/>
      <c r="AD195" s="15"/>
      <c r="AE195" s="15"/>
      <c r="AF195" s="16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</row>
    <row r="196" spans="1:48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5"/>
      <c r="AB196" s="15"/>
      <c r="AC196" s="15"/>
      <c r="AD196" s="15"/>
      <c r="AE196" s="15"/>
      <c r="AF196" s="16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</row>
    <row r="197" spans="1:48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5"/>
      <c r="AB197" s="15"/>
      <c r="AC197" s="15"/>
      <c r="AD197" s="15"/>
      <c r="AE197" s="15"/>
      <c r="AF197" s="16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</row>
    <row r="198" spans="1:4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5"/>
      <c r="AB198" s="15"/>
      <c r="AC198" s="15"/>
      <c r="AD198" s="15"/>
      <c r="AE198" s="15"/>
      <c r="AF198" s="16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</row>
    <row r="199" spans="1:48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5"/>
      <c r="AB199" s="15"/>
      <c r="AC199" s="15"/>
      <c r="AD199" s="15"/>
      <c r="AE199" s="15"/>
      <c r="AF199" s="16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</row>
    <row r="200" spans="1:48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5"/>
      <c r="AB200" s="15"/>
      <c r="AC200" s="15"/>
      <c r="AD200" s="15"/>
      <c r="AE200" s="15"/>
      <c r="AF200" s="16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</row>
    <row r="201" spans="1:48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5"/>
      <c r="AB201" s="15"/>
      <c r="AC201" s="15"/>
      <c r="AD201" s="15"/>
      <c r="AE201" s="15"/>
      <c r="AF201" s="16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</row>
    <row r="202" spans="1:48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5"/>
      <c r="AB202" s="15"/>
      <c r="AC202" s="15"/>
      <c r="AD202" s="15"/>
      <c r="AE202" s="15"/>
      <c r="AF202" s="16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</row>
    <row r="203" spans="1:48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5"/>
      <c r="AB203" s="15"/>
      <c r="AC203" s="15"/>
      <c r="AD203" s="15"/>
      <c r="AE203" s="15"/>
      <c r="AF203" s="16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</row>
    <row r="204" spans="1:48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5"/>
      <c r="AB204" s="15"/>
      <c r="AC204" s="15"/>
      <c r="AD204" s="15"/>
      <c r="AE204" s="15"/>
      <c r="AF204" s="16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</row>
    <row r="205" spans="1:48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5"/>
      <c r="AB205" s="15"/>
      <c r="AC205" s="15"/>
      <c r="AD205" s="15"/>
      <c r="AE205" s="15"/>
      <c r="AF205" s="16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</row>
    <row r="206" spans="1:48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5"/>
      <c r="AB206" s="15"/>
      <c r="AC206" s="15"/>
      <c r="AD206" s="15"/>
      <c r="AE206" s="15"/>
      <c r="AF206" s="16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</row>
    <row r="207" spans="1:48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5"/>
      <c r="AB207" s="15"/>
      <c r="AC207" s="15"/>
      <c r="AD207" s="15"/>
      <c r="AE207" s="15"/>
      <c r="AF207" s="16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</row>
    <row r="208" spans="1:4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5"/>
      <c r="AB208" s="15"/>
      <c r="AC208" s="15"/>
      <c r="AD208" s="15"/>
      <c r="AE208" s="15"/>
      <c r="AF208" s="16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</row>
    <row r="209" spans="1:48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5"/>
      <c r="AB209" s="15"/>
      <c r="AC209" s="15"/>
      <c r="AD209" s="15"/>
      <c r="AE209" s="15"/>
      <c r="AF209" s="16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</row>
    <row r="210" spans="1:48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5"/>
      <c r="AB210" s="15"/>
      <c r="AC210" s="15"/>
      <c r="AD210" s="15"/>
      <c r="AE210" s="15"/>
      <c r="AF210" s="16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</row>
    <row r="211" spans="1:48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5"/>
      <c r="AB211" s="15"/>
      <c r="AC211" s="15"/>
      <c r="AD211" s="15"/>
      <c r="AE211" s="15"/>
      <c r="AF211" s="16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</row>
    <row r="212" spans="1:48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5"/>
      <c r="AB212" s="15"/>
      <c r="AC212" s="15"/>
      <c r="AD212" s="15"/>
      <c r="AE212" s="15"/>
      <c r="AF212" s="16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</row>
    <row r="213" spans="1:48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5"/>
      <c r="AB213" s="15"/>
      <c r="AC213" s="15"/>
      <c r="AD213" s="15"/>
      <c r="AE213" s="15"/>
      <c r="AF213" s="16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</row>
    <row r="214" spans="1:48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5"/>
      <c r="AB214" s="15"/>
      <c r="AC214" s="15"/>
      <c r="AD214" s="15"/>
      <c r="AE214" s="15"/>
      <c r="AF214" s="16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</row>
    <row r="215" spans="1:48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5"/>
      <c r="AB215" s="15"/>
      <c r="AC215" s="15"/>
      <c r="AD215" s="15"/>
      <c r="AE215" s="15"/>
      <c r="AF215" s="16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</row>
    <row r="216" spans="1:48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5"/>
      <c r="AB216" s="15"/>
      <c r="AC216" s="15"/>
      <c r="AD216" s="15"/>
      <c r="AE216" s="15"/>
      <c r="AF216" s="16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</row>
    <row r="217" spans="1:48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5"/>
      <c r="AB217" s="15"/>
      <c r="AC217" s="15"/>
      <c r="AD217" s="15"/>
      <c r="AE217" s="15"/>
      <c r="AF217" s="16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</row>
    <row r="218" spans="1:4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5"/>
      <c r="AB218" s="15"/>
      <c r="AC218" s="15"/>
      <c r="AD218" s="15"/>
      <c r="AE218" s="15"/>
      <c r="AF218" s="16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</row>
    <row r="219" spans="1:48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5"/>
      <c r="AB219" s="15"/>
      <c r="AC219" s="15"/>
      <c r="AD219" s="15"/>
      <c r="AE219" s="15"/>
      <c r="AF219" s="16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</row>
    <row r="220" spans="1:48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5"/>
      <c r="AB220" s="15"/>
      <c r="AC220" s="15"/>
      <c r="AD220" s="15"/>
      <c r="AE220" s="15"/>
      <c r="AF220" s="16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</row>
    <row r="221" spans="1:48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5"/>
      <c r="AB221" s="15"/>
      <c r="AC221" s="15"/>
      <c r="AD221" s="15"/>
      <c r="AE221" s="15"/>
      <c r="AF221" s="16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</row>
    <row r="222" spans="1:48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5"/>
      <c r="AB222" s="15"/>
      <c r="AC222" s="15"/>
      <c r="AD222" s="15"/>
      <c r="AE222" s="15"/>
      <c r="AF222" s="16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</row>
    <row r="223" spans="1:48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5"/>
      <c r="AB223" s="15"/>
      <c r="AC223" s="15"/>
      <c r="AD223" s="15"/>
      <c r="AE223" s="15"/>
      <c r="AF223" s="16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</row>
    <row r="224" spans="1:48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5"/>
      <c r="AB224" s="15"/>
      <c r="AC224" s="15"/>
      <c r="AD224" s="15"/>
      <c r="AE224" s="15"/>
      <c r="AF224" s="16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</row>
    <row r="225" spans="1:48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5"/>
      <c r="AB225" s="15"/>
      <c r="AC225" s="15"/>
      <c r="AD225" s="15"/>
      <c r="AE225" s="15"/>
      <c r="AF225" s="16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</row>
    <row r="226" spans="1:48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5"/>
      <c r="AB226" s="15"/>
      <c r="AC226" s="15"/>
      <c r="AD226" s="15"/>
      <c r="AE226" s="15"/>
      <c r="AF226" s="16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</row>
    <row r="227" spans="1:48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5"/>
      <c r="AB227" s="15"/>
      <c r="AC227" s="15"/>
      <c r="AD227" s="15"/>
      <c r="AE227" s="15"/>
      <c r="AF227" s="16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</row>
    <row r="228" spans="1:4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5"/>
      <c r="AB228" s="15"/>
      <c r="AC228" s="15"/>
      <c r="AD228" s="15"/>
      <c r="AE228" s="15"/>
      <c r="AF228" s="16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</row>
    <row r="229" spans="1:48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5"/>
      <c r="AB229" s="15"/>
      <c r="AC229" s="15"/>
      <c r="AD229" s="15"/>
      <c r="AE229" s="15"/>
      <c r="AF229" s="16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</row>
    <row r="230" spans="1:48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5"/>
      <c r="AB230" s="15"/>
      <c r="AC230" s="15"/>
      <c r="AD230" s="15"/>
      <c r="AE230" s="15"/>
      <c r="AF230" s="16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</row>
    <row r="231" spans="1:48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5"/>
      <c r="AB231" s="15"/>
      <c r="AC231" s="15"/>
      <c r="AD231" s="15"/>
      <c r="AE231" s="15"/>
      <c r="AF231" s="16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</row>
    <row r="232" spans="1:48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5"/>
      <c r="AB232" s="15"/>
      <c r="AC232" s="15"/>
      <c r="AD232" s="15"/>
      <c r="AE232" s="15"/>
      <c r="AF232" s="16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</row>
    <row r="233" spans="1:48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5"/>
      <c r="AB233" s="15"/>
      <c r="AC233" s="15"/>
      <c r="AD233" s="15"/>
      <c r="AE233" s="15"/>
      <c r="AF233" s="16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</row>
    <row r="234" spans="1:48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5"/>
      <c r="AB234" s="15"/>
      <c r="AC234" s="15"/>
      <c r="AD234" s="15"/>
      <c r="AE234" s="15"/>
      <c r="AF234" s="16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</row>
    <row r="235" spans="1:48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5"/>
      <c r="AB235" s="15"/>
      <c r="AC235" s="15"/>
      <c r="AD235" s="15"/>
      <c r="AE235" s="15"/>
      <c r="AF235" s="16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</row>
    <row r="236" spans="1:48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5"/>
      <c r="AB236" s="15"/>
      <c r="AC236" s="15"/>
      <c r="AD236" s="15"/>
      <c r="AE236" s="15"/>
      <c r="AF236" s="16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</row>
    <row r="237" spans="1:48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5"/>
      <c r="AB237" s="15"/>
      <c r="AC237" s="15"/>
      <c r="AD237" s="15"/>
      <c r="AE237" s="15"/>
      <c r="AF237" s="16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</row>
    <row r="238" spans="1:4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5"/>
      <c r="AB238" s="15"/>
      <c r="AC238" s="15"/>
      <c r="AD238" s="15"/>
      <c r="AE238" s="15"/>
      <c r="AF238" s="16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</row>
    <row r="239" spans="1:48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5"/>
      <c r="AB239" s="15"/>
      <c r="AC239" s="15"/>
      <c r="AD239" s="15"/>
      <c r="AE239" s="15"/>
      <c r="AF239" s="16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</row>
    <row r="240" spans="1:48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5"/>
      <c r="AB240" s="15"/>
      <c r="AC240" s="15"/>
      <c r="AD240" s="15"/>
      <c r="AE240" s="15"/>
      <c r="AF240" s="16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</row>
    <row r="241" spans="1:48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5"/>
      <c r="AB241" s="15"/>
      <c r="AC241" s="15"/>
      <c r="AD241" s="15"/>
      <c r="AE241" s="15"/>
      <c r="AF241" s="16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</row>
    <row r="242" spans="1:48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5"/>
      <c r="AB242" s="15"/>
      <c r="AC242" s="15"/>
      <c r="AD242" s="15"/>
      <c r="AE242" s="15"/>
      <c r="AF242" s="16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</row>
    <row r="243" spans="1:48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5"/>
      <c r="AB243" s="15"/>
      <c r="AC243" s="15"/>
      <c r="AD243" s="15"/>
      <c r="AE243" s="15"/>
      <c r="AF243" s="16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</row>
    <row r="244" spans="1:48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5"/>
      <c r="AB244" s="15"/>
      <c r="AC244" s="15"/>
      <c r="AD244" s="15"/>
      <c r="AE244" s="15"/>
      <c r="AF244" s="16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</row>
    <row r="245" spans="1:48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5"/>
      <c r="AB245" s="15"/>
      <c r="AC245" s="15"/>
      <c r="AD245" s="15"/>
      <c r="AE245" s="15"/>
      <c r="AF245" s="16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</row>
    <row r="246" spans="1:48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5"/>
      <c r="AB246" s="15"/>
      <c r="AC246" s="15"/>
      <c r="AD246" s="15"/>
      <c r="AE246" s="15"/>
      <c r="AF246" s="16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</row>
    <row r="247" spans="1:48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5"/>
      <c r="AB247" s="15"/>
      <c r="AC247" s="15"/>
      <c r="AD247" s="15"/>
      <c r="AE247" s="15"/>
      <c r="AF247" s="16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</row>
    <row r="248" spans="1: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5"/>
      <c r="AB248" s="15"/>
      <c r="AC248" s="15"/>
      <c r="AD248" s="15"/>
      <c r="AE248" s="15"/>
      <c r="AF248" s="16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</row>
    <row r="249" spans="1:48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5"/>
      <c r="AB249" s="15"/>
      <c r="AC249" s="15"/>
      <c r="AD249" s="15"/>
      <c r="AE249" s="15"/>
      <c r="AF249" s="16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</row>
    <row r="250" spans="1:48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5"/>
      <c r="AB250" s="15"/>
      <c r="AC250" s="15"/>
      <c r="AD250" s="15"/>
      <c r="AE250" s="15"/>
      <c r="AF250" s="16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</row>
    <row r="251" spans="1:48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5"/>
      <c r="AB251" s="15"/>
      <c r="AC251" s="15"/>
      <c r="AD251" s="15"/>
      <c r="AE251" s="15"/>
      <c r="AF251" s="16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</row>
    <row r="252" spans="1:48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5"/>
      <c r="AB252" s="15"/>
      <c r="AC252" s="15"/>
      <c r="AD252" s="15"/>
      <c r="AE252" s="15"/>
      <c r="AF252" s="16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</row>
    <row r="253" spans="1:48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5"/>
      <c r="AB253" s="15"/>
      <c r="AC253" s="15"/>
      <c r="AD253" s="15"/>
      <c r="AE253" s="15"/>
      <c r="AF253" s="16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</row>
    <row r="254" spans="1:48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5"/>
      <c r="AB254" s="15"/>
      <c r="AC254" s="15"/>
      <c r="AD254" s="15"/>
      <c r="AE254" s="15"/>
      <c r="AF254" s="16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</row>
    <row r="255" spans="1:48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5"/>
      <c r="AB255" s="15"/>
      <c r="AC255" s="15"/>
      <c r="AD255" s="15"/>
      <c r="AE255" s="15"/>
      <c r="AF255" s="16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</row>
    <row r="256" spans="1:48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5"/>
      <c r="AB256" s="15"/>
      <c r="AC256" s="15"/>
      <c r="AD256" s="15"/>
      <c r="AE256" s="15"/>
      <c r="AF256" s="16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</row>
    <row r="257" spans="1:48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5"/>
      <c r="AB257" s="15"/>
      <c r="AC257" s="15"/>
      <c r="AD257" s="15"/>
      <c r="AE257" s="15"/>
      <c r="AF257" s="16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</row>
    <row r="258" spans="1:4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5"/>
      <c r="AB258" s="15"/>
      <c r="AC258" s="15"/>
      <c r="AD258" s="15"/>
      <c r="AE258" s="15"/>
      <c r="AF258" s="16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</row>
    <row r="259" spans="1:48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5"/>
      <c r="AB259" s="15"/>
      <c r="AC259" s="15"/>
      <c r="AD259" s="15"/>
      <c r="AE259" s="15"/>
      <c r="AF259" s="16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</row>
    <row r="260" spans="1:48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5"/>
      <c r="AB260" s="15"/>
      <c r="AC260" s="15"/>
      <c r="AD260" s="15"/>
      <c r="AE260" s="15"/>
      <c r="AF260" s="16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</row>
    <row r="261" spans="1:48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5"/>
      <c r="AB261" s="15"/>
      <c r="AC261" s="15"/>
      <c r="AD261" s="15"/>
      <c r="AE261" s="15"/>
      <c r="AF261" s="16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</row>
    <row r="262" spans="1:48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5"/>
      <c r="AB262" s="15"/>
      <c r="AC262" s="15"/>
      <c r="AD262" s="15"/>
      <c r="AE262" s="15"/>
      <c r="AF262" s="16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</row>
    <row r="263" spans="1:48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5"/>
      <c r="AB263" s="15"/>
      <c r="AC263" s="15"/>
      <c r="AD263" s="15"/>
      <c r="AE263" s="15"/>
      <c r="AF263" s="16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</row>
    <row r="264" spans="1:48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5"/>
      <c r="AB264" s="15"/>
      <c r="AC264" s="15"/>
      <c r="AD264" s="15"/>
      <c r="AE264" s="15"/>
      <c r="AF264" s="16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</row>
    <row r="265" spans="1:48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5"/>
      <c r="AB265" s="15"/>
      <c r="AC265" s="15"/>
      <c r="AD265" s="15"/>
      <c r="AE265" s="15"/>
      <c r="AF265" s="16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</row>
    <row r="266" spans="1:48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5"/>
      <c r="AB266" s="15"/>
      <c r="AC266" s="15"/>
      <c r="AD266" s="15"/>
      <c r="AE266" s="15"/>
      <c r="AF266" s="16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</row>
    <row r="267" spans="1:48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5"/>
      <c r="AB267" s="15"/>
      <c r="AC267" s="15"/>
      <c r="AD267" s="15"/>
      <c r="AE267" s="15"/>
      <c r="AF267" s="16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</row>
    <row r="268" spans="1:4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5"/>
      <c r="AB268" s="15"/>
      <c r="AC268" s="15"/>
      <c r="AD268" s="15"/>
      <c r="AE268" s="15"/>
      <c r="AF268" s="16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</row>
    <row r="269" spans="1:48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5"/>
      <c r="AB269" s="15"/>
      <c r="AC269" s="15"/>
      <c r="AD269" s="15"/>
      <c r="AE269" s="15"/>
      <c r="AF269" s="16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</row>
    <row r="270" spans="1:48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5"/>
      <c r="AB270" s="15"/>
      <c r="AC270" s="15"/>
      <c r="AD270" s="15"/>
      <c r="AE270" s="15"/>
      <c r="AF270" s="16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</row>
    <row r="271" spans="1:48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5"/>
      <c r="AB271" s="15"/>
      <c r="AC271" s="15"/>
      <c r="AD271" s="15"/>
      <c r="AE271" s="15"/>
      <c r="AF271" s="16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</row>
    <row r="272" spans="1:48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5"/>
      <c r="AB272" s="15"/>
      <c r="AC272" s="15"/>
      <c r="AD272" s="15"/>
      <c r="AE272" s="15"/>
      <c r="AF272" s="16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</row>
    <row r="273" spans="1:48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5"/>
      <c r="AB273" s="15"/>
      <c r="AC273" s="15"/>
      <c r="AD273" s="15"/>
      <c r="AE273" s="15"/>
      <c r="AF273" s="16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</row>
    <row r="274" spans="1:48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5"/>
      <c r="AB274" s="15"/>
      <c r="AC274" s="15"/>
      <c r="AD274" s="15"/>
      <c r="AE274" s="15"/>
      <c r="AF274" s="16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</row>
    <row r="275" spans="1:48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5"/>
      <c r="AB275" s="15"/>
      <c r="AC275" s="15"/>
      <c r="AD275" s="15"/>
      <c r="AE275" s="15"/>
      <c r="AF275" s="16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</row>
    <row r="276" spans="1:48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5"/>
      <c r="AB276" s="15"/>
      <c r="AC276" s="15"/>
      <c r="AD276" s="15"/>
      <c r="AE276" s="15"/>
      <c r="AF276" s="16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</row>
    <row r="277" spans="1:48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5"/>
      <c r="AB277" s="15"/>
      <c r="AC277" s="15"/>
      <c r="AD277" s="15"/>
      <c r="AE277" s="15"/>
      <c r="AF277" s="16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</row>
    <row r="278" spans="1:4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5"/>
      <c r="AB278" s="15"/>
      <c r="AC278" s="15"/>
      <c r="AD278" s="15"/>
      <c r="AE278" s="15"/>
      <c r="AF278" s="16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</row>
    <row r="279" spans="1:48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5"/>
      <c r="AB279" s="15"/>
      <c r="AC279" s="15"/>
      <c r="AD279" s="15"/>
      <c r="AE279" s="15"/>
      <c r="AF279" s="16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</row>
    <row r="280" spans="1:48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5"/>
      <c r="AB280" s="15"/>
      <c r="AC280" s="15"/>
      <c r="AD280" s="15"/>
      <c r="AE280" s="15"/>
      <c r="AF280" s="16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</row>
    <row r="281" spans="1:48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5"/>
      <c r="AB281" s="15"/>
      <c r="AC281" s="15"/>
      <c r="AD281" s="15"/>
      <c r="AE281" s="15"/>
      <c r="AF281" s="16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</row>
    <row r="282" spans="1:48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5"/>
      <c r="AB282" s="15"/>
      <c r="AC282" s="15"/>
      <c r="AD282" s="15"/>
      <c r="AE282" s="15"/>
      <c r="AF282" s="16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</row>
    <row r="283" spans="1:48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5"/>
      <c r="AB283" s="15"/>
      <c r="AC283" s="15"/>
      <c r="AD283" s="15"/>
      <c r="AE283" s="15"/>
      <c r="AF283" s="16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</row>
    <row r="284" spans="1:48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5"/>
      <c r="AB284" s="15"/>
      <c r="AC284" s="15"/>
      <c r="AD284" s="15"/>
      <c r="AE284" s="15"/>
      <c r="AF284" s="16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</row>
    <row r="285" spans="1:48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5"/>
      <c r="AB285" s="15"/>
      <c r="AC285" s="15"/>
      <c r="AD285" s="15"/>
      <c r="AE285" s="15"/>
      <c r="AF285" s="16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</row>
    <row r="286" spans="1:48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5"/>
      <c r="AB286" s="15"/>
      <c r="AC286" s="15"/>
      <c r="AD286" s="15"/>
      <c r="AE286" s="15"/>
      <c r="AF286" s="16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</row>
    <row r="287" spans="1:48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5"/>
      <c r="AB287" s="15"/>
      <c r="AC287" s="15"/>
      <c r="AD287" s="15"/>
      <c r="AE287" s="15"/>
      <c r="AF287" s="16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</row>
    <row r="288" spans="1:4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5"/>
      <c r="AB288" s="15"/>
      <c r="AC288" s="15"/>
      <c r="AD288" s="15"/>
      <c r="AE288" s="15"/>
      <c r="AF288" s="16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</row>
    <row r="289" spans="1:48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5"/>
      <c r="AB289" s="15"/>
      <c r="AC289" s="15"/>
      <c r="AD289" s="15"/>
      <c r="AE289" s="15"/>
      <c r="AF289" s="16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</row>
    <row r="290" spans="1:48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5"/>
      <c r="AB290" s="15"/>
      <c r="AC290" s="15"/>
      <c r="AD290" s="15"/>
      <c r="AE290" s="15"/>
      <c r="AF290" s="16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</row>
    <row r="291" spans="1:48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5"/>
      <c r="AB291" s="15"/>
      <c r="AC291" s="15"/>
      <c r="AD291" s="15"/>
      <c r="AE291" s="15"/>
      <c r="AF291" s="16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</row>
    <row r="292" spans="1:48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5"/>
      <c r="AB292" s="15"/>
      <c r="AC292" s="15"/>
      <c r="AD292" s="15"/>
      <c r="AE292" s="15"/>
      <c r="AF292" s="16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</row>
    <row r="293" spans="1:48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5"/>
      <c r="AB293" s="15"/>
      <c r="AC293" s="15"/>
      <c r="AD293" s="15"/>
      <c r="AE293" s="15"/>
      <c r="AF293" s="16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</row>
    <row r="294" spans="1:48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5"/>
      <c r="AB294" s="15"/>
      <c r="AC294" s="15"/>
      <c r="AD294" s="15"/>
      <c r="AE294" s="15"/>
      <c r="AF294" s="16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</row>
    <row r="295" spans="1:48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5"/>
      <c r="AB295" s="15"/>
      <c r="AC295" s="15"/>
      <c r="AD295" s="15"/>
      <c r="AE295" s="15"/>
      <c r="AF295" s="16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</row>
    <row r="296" spans="1:48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5"/>
      <c r="AB296" s="15"/>
      <c r="AC296" s="15"/>
      <c r="AD296" s="15"/>
      <c r="AE296" s="15"/>
      <c r="AF296" s="16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</row>
    <row r="297" spans="1:48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5"/>
      <c r="AB297" s="15"/>
      <c r="AC297" s="15"/>
      <c r="AD297" s="15"/>
      <c r="AE297" s="15"/>
      <c r="AF297" s="16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</row>
    <row r="298" spans="1:4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5"/>
      <c r="AB298" s="15"/>
      <c r="AC298" s="15"/>
      <c r="AD298" s="15"/>
      <c r="AE298" s="15"/>
      <c r="AF298" s="16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</row>
    <row r="299" spans="1:48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5"/>
      <c r="AB299" s="15"/>
      <c r="AC299" s="15"/>
      <c r="AD299" s="15"/>
      <c r="AE299" s="15"/>
      <c r="AF299" s="16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</row>
    <row r="300" spans="1:48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5"/>
      <c r="AB300" s="15"/>
      <c r="AC300" s="15"/>
      <c r="AD300" s="15"/>
      <c r="AE300" s="15"/>
      <c r="AF300" s="16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</row>
    <row r="301" spans="1:48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5"/>
      <c r="AB301" s="15"/>
      <c r="AC301" s="15"/>
      <c r="AD301" s="15"/>
      <c r="AE301" s="15"/>
      <c r="AF301" s="16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</row>
    <row r="302" spans="1:48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5"/>
      <c r="AB302" s="15"/>
      <c r="AC302" s="15"/>
      <c r="AD302" s="15"/>
      <c r="AE302" s="15"/>
      <c r="AF302" s="16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</row>
    <row r="303" spans="1:48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5"/>
      <c r="AB303" s="15"/>
      <c r="AC303" s="15"/>
      <c r="AD303" s="15"/>
      <c r="AE303" s="15"/>
      <c r="AF303" s="16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</row>
    <row r="304" spans="1:48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5"/>
      <c r="AB304" s="15"/>
      <c r="AC304" s="15"/>
      <c r="AD304" s="15"/>
      <c r="AE304" s="15"/>
      <c r="AF304" s="16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</row>
    <row r="305" spans="1:48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5"/>
      <c r="AB305" s="15"/>
      <c r="AC305" s="15"/>
      <c r="AD305" s="15"/>
      <c r="AE305" s="15"/>
      <c r="AF305" s="16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</row>
    <row r="306" spans="1:48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5"/>
      <c r="AB306" s="15"/>
      <c r="AC306" s="15"/>
      <c r="AD306" s="15"/>
      <c r="AE306" s="15"/>
      <c r="AF306" s="16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</row>
    <row r="307" spans="1:48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5"/>
      <c r="AB307" s="15"/>
      <c r="AC307" s="15"/>
      <c r="AD307" s="15"/>
      <c r="AE307" s="15"/>
      <c r="AF307" s="16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</row>
    <row r="308" spans="1:4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5"/>
      <c r="AB308" s="15"/>
      <c r="AC308" s="15"/>
      <c r="AD308" s="15"/>
      <c r="AE308" s="15"/>
      <c r="AF308" s="16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</row>
    <row r="309" spans="1:48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5"/>
      <c r="AB309" s="15"/>
      <c r="AC309" s="15"/>
      <c r="AD309" s="15"/>
      <c r="AE309" s="15"/>
      <c r="AF309" s="16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</row>
    <row r="310" spans="1:48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5"/>
      <c r="AB310" s="15"/>
      <c r="AC310" s="15"/>
      <c r="AD310" s="15"/>
      <c r="AE310" s="15"/>
      <c r="AF310" s="16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</row>
    <row r="311" spans="1:48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5"/>
      <c r="AB311" s="15"/>
      <c r="AC311" s="15"/>
      <c r="AD311" s="15"/>
      <c r="AE311" s="15"/>
      <c r="AF311" s="16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</row>
    <row r="312" spans="1:48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5"/>
      <c r="AB312" s="15"/>
      <c r="AC312" s="15"/>
      <c r="AD312" s="15"/>
      <c r="AE312" s="15"/>
      <c r="AF312" s="16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</row>
    <row r="313" spans="1:48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5"/>
      <c r="AB313" s="15"/>
      <c r="AC313" s="15"/>
      <c r="AD313" s="15"/>
      <c r="AE313" s="15"/>
      <c r="AF313" s="16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</row>
    <row r="314" spans="1:48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5"/>
      <c r="AB314" s="15"/>
      <c r="AC314" s="15"/>
      <c r="AD314" s="15"/>
      <c r="AE314" s="15"/>
      <c r="AF314" s="16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</row>
    <row r="315" spans="1:48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5"/>
      <c r="AB315" s="15"/>
      <c r="AC315" s="15"/>
      <c r="AD315" s="15"/>
      <c r="AE315" s="15"/>
      <c r="AF315" s="16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</row>
    <row r="316" spans="1:48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5"/>
      <c r="AB316" s="15"/>
      <c r="AC316" s="15"/>
      <c r="AD316" s="15"/>
      <c r="AE316" s="15"/>
      <c r="AF316" s="16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</row>
    <row r="317" spans="1:48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5"/>
      <c r="AB317" s="15"/>
      <c r="AC317" s="15"/>
      <c r="AD317" s="15"/>
      <c r="AE317" s="15"/>
      <c r="AF317" s="16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</row>
    <row r="318" spans="1:4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5"/>
      <c r="AB318" s="15"/>
      <c r="AC318" s="15"/>
      <c r="AD318" s="15"/>
      <c r="AE318" s="15"/>
      <c r="AF318" s="16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</row>
    <row r="319" spans="1:48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5"/>
      <c r="AB319" s="15"/>
      <c r="AC319" s="15"/>
      <c r="AD319" s="15"/>
      <c r="AE319" s="15"/>
      <c r="AF319" s="16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</row>
    <row r="320" spans="1:48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5"/>
      <c r="AB320" s="15"/>
      <c r="AC320" s="15"/>
      <c r="AD320" s="15"/>
      <c r="AE320" s="15"/>
      <c r="AF320" s="16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</row>
    <row r="321" spans="1:48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5"/>
      <c r="AB321" s="15"/>
      <c r="AC321" s="15"/>
      <c r="AD321" s="15"/>
      <c r="AE321" s="15"/>
      <c r="AF321" s="16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</row>
    <row r="322" spans="1:48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5"/>
      <c r="AB322" s="15"/>
      <c r="AC322" s="15"/>
      <c r="AD322" s="15"/>
      <c r="AE322" s="15"/>
      <c r="AF322" s="16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</row>
    <row r="323" spans="1:48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5"/>
      <c r="AB323" s="15"/>
      <c r="AC323" s="15"/>
      <c r="AD323" s="15"/>
      <c r="AE323" s="15"/>
      <c r="AF323" s="16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</row>
    <row r="324" spans="1:48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5"/>
      <c r="AB324" s="15"/>
      <c r="AC324" s="15"/>
      <c r="AD324" s="15"/>
      <c r="AE324" s="15"/>
      <c r="AF324" s="16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</row>
    <row r="325" spans="1:48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5"/>
      <c r="AB325" s="15"/>
      <c r="AC325" s="15"/>
      <c r="AD325" s="15"/>
      <c r="AE325" s="15"/>
      <c r="AF325" s="16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</row>
    <row r="326" spans="1:48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5"/>
      <c r="AB326" s="15"/>
      <c r="AC326" s="15"/>
      <c r="AD326" s="15"/>
      <c r="AE326" s="15"/>
      <c r="AF326" s="16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</row>
    <row r="327" spans="1:48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5"/>
      <c r="AB327" s="15"/>
      <c r="AC327" s="15"/>
      <c r="AD327" s="15"/>
      <c r="AE327" s="15"/>
      <c r="AF327" s="16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</row>
    <row r="328" spans="1:4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5"/>
      <c r="AB328" s="15"/>
      <c r="AC328" s="15"/>
      <c r="AD328" s="15"/>
      <c r="AE328" s="15"/>
      <c r="AF328" s="16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</row>
    <row r="329" spans="1:48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5"/>
      <c r="AB329" s="15"/>
      <c r="AC329" s="15"/>
      <c r="AD329" s="15"/>
      <c r="AE329" s="15"/>
      <c r="AF329" s="16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</row>
    <row r="330" spans="1:48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5"/>
      <c r="AB330" s="15"/>
      <c r="AC330" s="15"/>
      <c r="AD330" s="15"/>
      <c r="AE330" s="15"/>
      <c r="AF330" s="16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</row>
    <row r="331" spans="1:48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5"/>
      <c r="AB331" s="15"/>
      <c r="AC331" s="15"/>
      <c r="AD331" s="15"/>
      <c r="AE331" s="15"/>
      <c r="AF331" s="16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</row>
    <row r="332" spans="1:48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5"/>
      <c r="AB332" s="15"/>
      <c r="AC332" s="15"/>
      <c r="AD332" s="15"/>
      <c r="AE332" s="15"/>
      <c r="AF332" s="16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</row>
    <row r="333" spans="1:48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5"/>
      <c r="AB333" s="15"/>
      <c r="AC333" s="15"/>
      <c r="AD333" s="15"/>
      <c r="AE333" s="15"/>
      <c r="AF333" s="16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</row>
    <row r="334" spans="1:48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5"/>
      <c r="AB334" s="15"/>
      <c r="AC334" s="15"/>
      <c r="AD334" s="15"/>
      <c r="AE334" s="15"/>
      <c r="AF334" s="16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</row>
    <row r="335" spans="1:48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5"/>
      <c r="AB335" s="15"/>
      <c r="AC335" s="15"/>
      <c r="AD335" s="15"/>
      <c r="AE335" s="15"/>
      <c r="AF335" s="16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</row>
    <row r="336" spans="1:48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5"/>
      <c r="AB336" s="15"/>
      <c r="AC336" s="15"/>
      <c r="AD336" s="15"/>
      <c r="AE336" s="15"/>
      <c r="AF336" s="16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</row>
    <row r="337" spans="1:48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5"/>
      <c r="AB337" s="15"/>
      <c r="AC337" s="15"/>
      <c r="AD337" s="15"/>
      <c r="AE337" s="15"/>
      <c r="AF337" s="16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</row>
    <row r="338" spans="1:4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5"/>
      <c r="AB338" s="15"/>
      <c r="AC338" s="15"/>
      <c r="AD338" s="15"/>
      <c r="AE338" s="15"/>
      <c r="AF338" s="16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</row>
    <row r="339" spans="1:48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5"/>
      <c r="AB339" s="15"/>
      <c r="AC339" s="15"/>
      <c r="AD339" s="15"/>
      <c r="AE339" s="15"/>
      <c r="AF339" s="16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</row>
    <row r="340" spans="1:48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5"/>
      <c r="AB340" s="15"/>
      <c r="AC340" s="15"/>
      <c r="AD340" s="15"/>
      <c r="AE340" s="15"/>
      <c r="AF340" s="16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</row>
    <row r="341" spans="1:48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5"/>
      <c r="AB341" s="15"/>
      <c r="AC341" s="15"/>
      <c r="AD341" s="15"/>
      <c r="AE341" s="15"/>
      <c r="AF341" s="16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</row>
    <row r="342" spans="1:48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5"/>
      <c r="AB342" s="15"/>
      <c r="AC342" s="15"/>
      <c r="AD342" s="15"/>
      <c r="AE342" s="15"/>
      <c r="AF342" s="16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</row>
    <row r="343" spans="1:48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5"/>
      <c r="AB343" s="15"/>
      <c r="AC343" s="15"/>
      <c r="AD343" s="15"/>
      <c r="AE343" s="15"/>
      <c r="AF343" s="16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</row>
    <row r="344" spans="1:48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5"/>
      <c r="AB344" s="15"/>
      <c r="AC344" s="15"/>
      <c r="AD344" s="15"/>
      <c r="AE344" s="15"/>
      <c r="AF344" s="16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</row>
    <row r="345" spans="1:48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5"/>
      <c r="AB345" s="15"/>
      <c r="AC345" s="15"/>
      <c r="AD345" s="15"/>
      <c r="AE345" s="15"/>
      <c r="AF345" s="16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</row>
    <row r="346" spans="1:48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5"/>
      <c r="AB346" s="15"/>
      <c r="AC346" s="15"/>
      <c r="AD346" s="15"/>
      <c r="AE346" s="15"/>
      <c r="AF346" s="16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</row>
    <row r="347" spans="1:48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5"/>
      <c r="AB347" s="15"/>
      <c r="AC347" s="15"/>
      <c r="AD347" s="15"/>
      <c r="AE347" s="15"/>
      <c r="AF347" s="16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</row>
    <row r="348" spans="1: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5"/>
      <c r="AB348" s="15"/>
      <c r="AC348" s="15"/>
      <c r="AD348" s="15"/>
      <c r="AE348" s="15"/>
      <c r="AF348" s="16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</row>
    <row r="349" spans="1:48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5"/>
      <c r="AB349" s="15"/>
      <c r="AC349" s="15"/>
      <c r="AD349" s="15"/>
      <c r="AE349" s="15"/>
      <c r="AF349" s="16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</row>
    <row r="350" spans="1:48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5"/>
      <c r="AB350" s="15"/>
      <c r="AC350" s="15"/>
      <c r="AD350" s="15"/>
      <c r="AE350" s="15"/>
      <c r="AF350" s="16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</row>
    <row r="351" spans="1:48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5"/>
      <c r="AB351" s="15"/>
      <c r="AC351" s="15"/>
      <c r="AD351" s="15"/>
      <c r="AE351" s="15"/>
      <c r="AF351" s="16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</row>
    <row r="352" spans="1:48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5"/>
      <c r="AB352" s="15"/>
      <c r="AC352" s="15"/>
      <c r="AD352" s="15"/>
      <c r="AE352" s="15"/>
      <c r="AF352" s="16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</row>
    <row r="353" spans="1:48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5"/>
      <c r="AB353" s="15"/>
      <c r="AC353" s="15"/>
      <c r="AD353" s="15"/>
      <c r="AE353" s="15"/>
      <c r="AF353" s="16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</row>
    <row r="354" spans="1:48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5"/>
      <c r="AB354" s="15"/>
      <c r="AC354" s="15"/>
      <c r="AD354" s="15"/>
      <c r="AE354" s="15"/>
      <c r="AF354" s="16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</row>
    <row r="355" spans="1:48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5"/>
      <c r="AB355" s="15"/>
      <c r="AC355" s="15"/>
      <c r="AD355" s="15"/>
      <c r="AE355" s="15"/>
      <c r="AF355" s="16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</row>
    <row r="356" spans="1:48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5"/>
      <c r="AB356" s="15"/>
      <c r="AC356" s="15"/>
      <c r="AD356" s="15"/>
      <c r="AE356" s="15"/>
      <c r="AF356" s="16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</row>
    <row r="357" spans="1:48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5"/>
      <c r="AB357" s="15"/>
      <c r="AC357" s="15"/>
      <c r="AD357" s="15"/>
      <c r="AE357" s="15"/>
      <c r="AF357" s="16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</row>
    <row r="358" spans="1:4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5"/>
      <c r="AB358" s="15"/>
      <c r="AC358" s="15"/>
      <c r="AD358" s="15"/>
      <c r="AE358" s="15"/>
      <c r="AF358" s="16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</row>
    <row r="359" spans="1:48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5"/>
      <c r="AB359" s="15"/>
      <c r="AC359" s="15"/>
      <c r="AD359" s="15"/>
      <c r="AE359" s="15"/>
      <c r="AF359" s="16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</row>
    <row r="360" spans="1:48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5"/>
      <c r="AB360" s="15"/>
      <c r="AC360" s="15"/>
      <c r="AD360" s="15"/>
      <c r="AE360" s="15"/>
      <c r="AF360" s="16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</row>
    <row r="361" spans="1:48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5"/>
      <c r="AB361" s="15"/>
      <c r="AC361" s="15"/>
      <c r="AD361" s="15"/>
      <c r="AE361" s="15"/>
      <c r="AF361" s="16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</row>
    <row r="362" spans="1:48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5"/>
      <c r="AB362" s="15"/>
      <c r="AC362" s="15"/>
      <c r="AD362" s="15"/>
      <c r="AE362" s="15"/>
      <c r="AF362" s="16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</row>
    <row r="363" spans="1:48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5"/>
      <c r="AB363" s="15"/>
      <c r="AC363" s="15"/>
      <c r="AD363" s="15"/>
      <c r="AE363" s="15"/>
      <c r="AF363" s="16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</row>
    <row r="364" spans="1:48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5"/>
      <c r="AB364" s="15"/>
      <c r="AC364" s="15"/>
      <c r="AD364" s="15"/>
      <c r="AE364" s="15"/>
      <c r="AF364" s="16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</row>
    <row r="365" spans="1:48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5"/>
      <c r="AB365" s="15"/>
      <c r="AC365" s="15"/>
      <c r="AD365" s="15"/>
      <c r="AE365" s="15"/>
      <c r="AF365" s="16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</row>
    <row r="366" spans="1:48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5"/>
      <c r="AB366" s="15"/>
      <c r="AC366" s="15"/>
      <c r="AD366" s="15"/>
      <c r="AE366" s="15"/>
      <c r="AF366" s="16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</row>
    <row r="367" spans="1:48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5"/>
      <c r="AB367" s="15"/>
      <c r="AC367" s="15"/>
      <c r="AD367" s="15"/>
      <c r="AE367" s="15"/>
      <c r="AF367" s="16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</row>
    <row r="368" spans="1:4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5"/>
      <c r="AB368" s="15"/>
      <c r="AC368" s="15"/>
      <c r="AD368" s="15"/>
      <c r="AE368" s="15"/>
      <c r="AF368" s="16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</row>
    <row r="369" spans="1:48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5"/>
      <c r="AB369" s="15"/>
      <c r="AC369" s="15"/>
      <c r="AD369" s="15"/>
      <c r="AE369" s="15"/>
      <c r="AF369" s="16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</row>
    <row r="370" spans="1:48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5"/>
      <c r="AB370" s="15"/>
      <c r="AC370" s="15"/>
      <c r="AD370" s="15"/>
      <c r="AE370" s="15"/>
      <c r="AF370" s="16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</row>
    <row r="371" spans="1:48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5"/>
      <c r="AB371" s="15"/>
      <c r="AC371" s="15"/>
      <c r="AD371" s="15"/>
      <c r="AE371" s="15"/>
      <c r="AF371" s="16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</row>
    <row r="372" spans="1:48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5"/>
      <c r="AB372" s="15"/>
      <c r="AC372" s="15"/>
      <c r="AD372" s="15"/>
      <c r="AE372" s="15"/>
      <c r="AF372" s="16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</row>
    <row r="373" spans="1:48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5"/>
      <c r="AB373" s="15"/>
      <c r="AC373" s="15"/>
      <c r="AD373" s="15"/>
      <c r="AE373" s="15"/>
      <c r="AF373" s="16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</row>
    <row r="374" spans="1:48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5"/>
      <c r="AB374" s="15"/>
      <c r="AC374" s="15"/>
      <c r="AD374" s="15"/>
      <c r="AE374" s="15"/>
      <c r="AF374" s="16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</row>
    <row r="375" spans="1:48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5"/>
      <c r="AB375" s="15"/>
      <c r="AC375" s="15"/>
      <c r="AD375" s="15"/>
      <c r="AE375" s="15"/>
      <c r="AF375" s="16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</row>
    <row r="376" spans="1:48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5"/>
      <c r="AB376" s="15"/>
      <c r="AC376" s="15"/>
      <c r="AD376" s="15"/>
      <c r="AE376" s="15"/>
      <c r="AF376" s="16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</row>
    <row r="377" spans="1:48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5"/>
      <c r="AB377" s="15"/>
      <c r="AC377" s="15"/>
      <c r="AD377" s="15"/>
      <c r="AE377" s="15"/>
      <c r="AF377" s="16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</row>
    <row r="378" spans="1:4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5"/>
      <c r="AB378" s="15"/>
      <c r="AC378" s="15"/>
      <c r="AD378" s="15"/>
      <c r="AE378" s="15"/>
      <c r="AF378" s="16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</row>
    <row r="379" spans="1:48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5"/>
      <c r="AB379" s="15"/>
      <c r="AC379" s="15"/>
      <c r="AD379" s="15"/>
      <c r="AE379" s="15"/>
      <c r="AF379" s="16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</row>
    <row r="380" spans="1:48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5"/>
      <c r="AB380" s="15"/>
      <c r="AC380" s="15"/>
      <c r="AD380" s="15"/>
      <c r="AE380" s="15"/>
      <c r="AF380" s="16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</row>
    <row r="381" spans="1:48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5"/>
      <c r="AB381" s="15"/>
      <c r="AC381" s="15"/>
      <c r="AD381" s="15"/>
      <c r="AE381" s="15"/>
      <c r="AF381" s="16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</row>
    <row r="382" spans="1:48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5"/>
      <c r="AB382" s="15"/>
      <c r="AC382" s="15"/>
      <c r="AD382" s="15"/>
      <c r="AE382" s="15"/>
      <c r="AF382" s="16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</row>
    <row r="383" spans="1:48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5"/>
      <c r="AB383" s="15"/>
      <c r="AC383" s="15"/>
      <c r="AD383" s="15"/>
      <c r="AE383" s="15"/>
      <c r="AF383" s="16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</row>
    <row r="384" spans="1:48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5"/>
      <c r="AB384" s="15"/>
      <c r="AC384" s="15"/>
      <c r="AD384" s="15"/>
      <c r="AE384" s="15"/>
      <c r="AF384" s="16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</row>
    <row r="385" spans="1:48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5"/>
      <c r="AB385" s="15"/>
      <c r="AC385" s="15"/>
      <c r="AD385" s="15"/>
      <c r="AE385" s="15"/>
      <c r="AF385" s="16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</row>
    <row r="386" spans="1:48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5"/>
      <c r="AB386" s="15"/>
      <c r="AC386" s="15"/>
      <c r="AD386" s="15"/>
      <c r="AE386" s="15"/>
      <c r="AF386" s="16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</row>
    <row r="387" spans="1:48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5"/>
      <c r="AB387" s="15"/>
      <c r="AC387" s="15"/>
      <c r="AD387" s="15"/>
      <c r="AE387" s="15"/>
      <c r="AF387" s="16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</row>
    <row r="388" spans="1:4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5"/>
      <c r="AB388" s="15"/>
      <c r="AC388" s="15"/>
      <c r="AD388" s="15"/>
      <c r="AE388" s="15"/>
      <c r="AF388" s="16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</row>
    <row r="389" spans="1:48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5"/>
      <c r="AB389" s="15"/>
      <c r="AC389" s="15"/>
      <c r="AD389" s="15"/>
      <c r="AE389" s="15"/>
      <c r="AF389" s="16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</row>
    <row r="390" spans="1:48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5"/>
      <c r="AB390" s="15"/>
      <c r="AC390" s="15"/>
      <c r="AD390" s="15"/>
      <c r="AE390" s="15"/>
      <c r="AF390" s="16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</row>
    <row r="391" spans="1:48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5"/>
      <c r="AB391" s="15"/>
      <c r="AC391" s="15"/>
      <c r="AD391" s="15"/>
      <c r="AE391" s="15"/>
      <c r="AF391" s="16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</row>
    <row r="392" spans="1:48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5"/>
      <c r="AB392" s="15"/>
      <c r="AC392" s="15"/>
      <c r="AD392" s="15"/>
      <c r="AE392" s="15"/>
      <c r="AF392" s="16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</row>
    <row r="393" spans="1:48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5"/>
      <c r="AB393" s="15"/>
      <c r="AC393" s="15"/>
      <c r="AD393" s="15"/>
      <c r="AE393" s="15"/>
      <c r="AF393" s="16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</row>
    <row r="394" spans="1:48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5"/>
      <c r="AB394" s="15"/>
      <c r="AC394" s="15"/>
      <c r="AD394" s="15"/>
      <c r="AE394" s="15"/>
      <c r="AF394" s="16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</row>
    <row r="395" spans="1:48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5"/>
      <c r="AB395" s="15"/>
      <c r="AC395" s="15"/>
      <c r="AD395" s="15"/>
      <c r="AE395" s="15"/>
      <c r="AF395" s="16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</row>
    <row r="396" spans="1:48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5"/>
      <c r="AB396" s="15"/>
      <c r="AC396" s="15"/>
      <c r="AD396" s="15"/>
      <c r="AE396" s="15"/>
      <c r="AF396" s="16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</row>
    <row r="397" spans="1:48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5"/>
      <c r="AB397" s="15"/>
      <c r="AC397" s="15"/>
      <c r="AD397" s="15"/>
      <c r="AE397" s="15"/>
      <c r="AF397" s="16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</row>
    <row r="398" spans="1:4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5"/>
      <c r="AB398" s="15"/>
      <c r="AC398" s="15"/>
      <c r="AD398" s="15"/>
      <c r="AE398" s="15"/>
      <c r="AF398" s="16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</row>
    <row r="399" spans="1:48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5"/>
      <c r="AB399" s="15"/>
      <c r="AC399" s="15"/>
      <c r="AD399" s="15"/>
      <c r="AE399" s="15"/>
      <c r="AF399" s="16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</row>
    <row r="400" spans="1:48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5"/>
      <c r="AB400" s="15"/>
      <c r="AC400" s="15"/>
      <c r="AD400" s="15"/>
      <c r="AE400" s="15"/>
      <c r="AF400" s="16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</row>
    <row r="401" spans="1:48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5"/>
      <c r="AB401" s="15"/>
      <c r="AC401" s="15"/>
      <c r="AD401" s="15"/>
      <c r="AE401" s="15"/>
      <c r="AF401" s="16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</row>
    <row r="402" spans="1:48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5"/>
      <c r="AB402" s="15"/>
      <c r="AC402" s="15"/>
      <c r="AD402" s="15"/>
      <c r="AE402" s="15"/>
      <c r="AF402" s="16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</row>
    <row r="403" spans="1:48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5"/>
      <c r="AB403" s="15"/>
      <c r="AC403" s="15"/>
      <c r="AD403" s="15"/>
      <c r="AE403" s="15"/>
      <c r="AF403" s="16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</row>
    <row r="404" spans="1:48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5"/>
      <c r="AB404" s="15"/>
      <c r="AC404" s="15"/>
      <c r="AD404" s="15"/>
      <c r="AE404" s="15"/>
      <c r="AF404" s="16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</row>
    <row r="405" spans="1:48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5"/>
      <c r="AB405" s="15"/>
      <c r="AC405" s="15"/>
      <c r="AD405" s="15"/>
      <c r="AE405" s="15"/>
      <c r="AF405" s="16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</row>
    <row r="406" spans="1:48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5"/>
      <c r="AB406" s="15"/>
      <c r="AC406" s="15"/>
      <c r="AD406" s="15"/>
      <c r="AE406" s="15"/>
      <c r="AF406" s="16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</row>
    <row r="407" spans="1:48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5"/>
      <c r="AB407" s="15"/>
      <c r="AC407" s="15"/>
      <c r="AD407" s="15"/>
      <c r="AE407" s="15"/>
      <c r="AF407" s="16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</row>
    <row r="408" spans="1:4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5"/>
      <c r="AB408" s="15"/>
      <c r="AC408" s="15"/>
      <c r="AD408" s="15"/>
      <c r="AE408" s="15"/>
      <c r="AF408" s="16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</row>
    <row r="409" spans="1:48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5"/>
      <c r="AB409" s="15"/>
      <c r="AC409" s="15"/>
      <c r="AD409" s="15"/>
      <c r="AE409" s="15"/>
      <c r="AF409" s="16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</row>
    <row r="410" spans="1:48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5"/>
      <c r="AB410" s="15"/>
      <c r="AC410" s="15"/>
      <c r="AD410" s="15"/>
      <c r="AE410" s="15"/>
      <c r="AF410" s="16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</row>
    <row r="411" spans="1:48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5"/>
      <c r="AB411" s="15"/>
      <c r="AC411" s="15"/>
      <c r="AD411" s="15"/>
      <c r="AE411" s="15"/>
      <c r="AF411" s="16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</row>
    <row r="412" spans="1:48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5"/>
      <c r="AB412" s="15"/>
      <c r="AC412" s="15"/>
      <c r="AD412" s="15"/>
      <c r="AE412" s="15"/>
      <c r="AF412" s="16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</row>
    <row r="413" spans="1:48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5"/>
      <c r="AB413" s="15"/>
      <c r="AC413" s="15"/>
      <c r="AD413" s="15"/>
      <c r="AE413" s="15"/>
      <c r="AF413" s="16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</row>
    <row r="414" spans="1:48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5"/>
      <c r="AB414" s="15"/>
      <c r="AC414" s="15"/>
      <c r="AD414" s="15"/>
      <c r="AE414" s="15"/>
      <c r="AF414" s="16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</row>
    <row r="415" spans="1:48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5"/>
      <c r="AB415" s="15"/>
      <c r="AC415" s="15"/>
      <c r="AD415" s="15"/>
      <c r="AE415" s="15"/>
      <c r="AF415" s="16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</row>
    <row r="416" spans="1:48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5"/>
      <c r="AB416" s="15"/>
      <c r="AC416" s="15"/>
      <c r="AD416" s="15"/>
      <c r="AE416" s="15"/>
      <c r="AF416" s="16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</row>
    <row r="417" spans="1:48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5"/>
      <c r="AB417" s="15"/>
      <c r="AC417" s="15"/>
      <c r="AD417" s="15"/>
      <c r="AE417" s="15"/>
      <c r="AF417" s="16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</row>
    <row r="418" spans="1:4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5"/>
      <c r="AB418" s="15"/>
      <c r="AC418" s="15"/>
      <c r="AD418" s="15"/>
      <c r="AE418" s="15"/>
      <c r="AF418" s="16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</row>
    <row r="419" spans="1:48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5"/>
      <c r="AB419" s="15"/>
      <c r="AC419" s="15"/>
      <c r="AD419" s="15"/>
      <c r="AE419" s="15"/>
      <c r="AF419" s="16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</row>
    <row r="420" spans="1:48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5"/>
      <c r="AB420" s="15"/>
      <c r="AC420" s="15"/>
      <c r="AD420" s="15"/>
      <c r="AE420" s="15"/>
      <c r="AF420" s="16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</row>
    <row r="421" spans="1:48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5"/>
      <c r="AB421" s="15"/>
      <c r="AC421" s="15"/>
      <c r="AD421" s="15"/>
      <c r="AE421" s="15"/>
      <c r="AF421" s="16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</row>
    <row r="422" spans="1:48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5"/>
      <c r="AB422" s="15"/>
      <c r="AC422" s="15"/>
      <c r="AD422" s="15"/>
      <c r="AE422" s="15"/>
      <c r="AF422" s="16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</row>
    <row r="423" spans="1:48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5"/>
      <c r="AB423" s="15"/>
      <c r="AC423" s="15"/>
      <c r="AD423" s="15"/>
      <c r="AE423" s="15"/>
      <c r="AF423" s="16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</row>
    <row r="424" spans="1:48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5"/>
      <c r="AB424" s="15"/>
      <c r="AC424" s="15"/>
      <c r="AD424" s="15"/>
      <c r="AE424" s="15"/>
      <c r="AF424" s="16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</row>
    <row r="425" spans="1:48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5"/>
      <c r="AB425" s="15"/>
      <c r="AC425" s="15"/>
      <c r="AD425" s="15"/>
      <c r="AE425" s="15"/>
      <c r="AF425" s="16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</row>
    <row r="426" spans="1:48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5"/>
      <c r="AB426" s="15"/>
      <c r="AC426" s="15"/>
      <c r="AD426" s="15"/>
      <c r="AE426" s="15"/>
      <c r="AF426" s="16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</row>
    <row r="427" spans="1:48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5"/>
      <c r="AB427" s="15"/>
      <c r="AC427" s="15"/>
      <c r="AD427" s="15"/>
      <c r="AE427" s="15"/>
      <c r="AF427" s="16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</row>
    <row r="428" spans="1:4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5"/>
      <c r="AB428" s="15"/>
      <c r="AC428" s="15"/>
      <c r="AD428" s="15"/>
      <c r="AE428" s="15"/>
      <c r="AF428" s="16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</row>
    <row r="429" spans="1:48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5"/>
      <c r="AB429" s="15"/>
      <c r="AC429" s="15"/>
      <c r="AD429" s="15"/>
      <c r="AE429" s="15"/>
      <c r="AF429" s="16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</row>
    <row r="430" spans="1:48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5"/>
      <c r="AB430" s="15"/>
      <c r="AC430" s="15"/>
      <c r="AD430" s="15"/>
      <c r="AE430" s="15"/>
      <c r="AF430" s="16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</row>
    <row r="431" spans="1:48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5"/>
      <c r="AB431" s="15"/>
      <c r="AC431" s="15"/>
      <c r="AD431" s="15"/>
      <c r="AE431" s="15"/>
      <c r="AF431" s="16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</row>
    <row r="432" spans="1:48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5"/>
      <c r="AB432" s="15"/>
      <c r="AC432" s="15"/>
      <c r="AD432" s="15"/>
      <c r="AE432" s="15"/>
      <c r="AF432" s="16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</row>
    <row r="433" spans="1:48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5"/>
      <c r="AB433" s="15"/>
      <c r="AC433" s="15"/>
      <c r="AD433" s="15"/>
      <c r="AE433" s="15"/>
      <c r="AF433" s="16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</row>
    <row r="434" spans="1:48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5"/>
      <c r="AB434" s="15"/>
      <c r="AC434" s="15"/>
      <c r="AD434" s="15"/>
      <c r="AE434" s="15"/>
      <c r="AF434" s="16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</row>
    <row r="435" spans="1:48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5"/>
      <c r="AB435" s="15"/>
      <c r="AC435" s="15"/>
      <c r="AD435" s="15"/>
      <c r="AE435" s="15"/>
      <c r="AF435" s="16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</row>
    <row r="436" spans="1:48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5"/>
      <c r="AB436" s="15"/>
      <c r="AC436" s="15"/>
      <c r="AD436" s="15"/>
      <c r="AE436" s="15"/>
      <c r="AF436" s="16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</row>
    <row r="437" spans="1:48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5"/>
      <c r="AB437" s="15"/>
      <c r="AC437" s="15"/>
      <c r="AD437" s="15"/>
      <c r="AE437" s="15"/>
      <c r="AF437" s="16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</row>
    <row r="438" spans="1:4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5"/>
      <c r="AB438" s="15"/>
      <c r="AC438" s="15"/>
      <c r="AD438" s="15"/>
      <c r="AE438" s="15"/>
      <c r="AF438" s="16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</row>
    <row r="439" spans="1:48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5"/>
      <c r="AB439" s="15"/>
      <c r="AC439" s="15"/>
      <c r="AD439" s="15"/>
      <c r="AE439" s="15"/>
      <c r="AF439" s="16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</row>
    <row r="440" spans="1:48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5"/>
      <c r="AB440" s="15"/>
      <c r="AC440" s="15"/>
      <c r="AD440" s="15"/>
      <c r="AE440" s="15"/>
      <c r="AF440" s="16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</row>
    <row r="441" spans="1:48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5"/>
      <c r="AB441" s="15"/>
      <c r="AC441" s="15"/>
      <c r="AD441" s="15"/>
      <c r="AE441" s="15"/>
      <c r="AF441" s="16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</row>
    <row r="442" spans="1:48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5"/>
      <c r="AB442" s="15"/>
      <c r="AC442" s="15"/>
      <c r="AD442" s="15"/>
      <c r="AE442" s="15"/>
      <c r="AF442" s="16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</row>
    <row r="443" spans="1:48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5"/>
      <c r="AB443" s="15"/>
      <c r="AC443" s="15"/>
      <c r="AD443" s="15"/>
      <c r="AE443" s="15"/>
      <c r="AF443" s="16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</row>
    <row r="444" spans="1:48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5"/>
      <c r="AB444" s="15"/>
      <c r="AC444" s="15"/>
      <c r="AD444" s="15"/>
      <c r="AE444" s="15"/>
      <c r="AF444" s="16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</row>
    <row r="445" spans="1:48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5"/>
      <c r="AB445" s="15"/>
      <c r="AC445" s="15"/>
      <c r="AD445" s="15"/>
      <c r="AE445" s="15"/>
      <c r="AF445" s="16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</row>
    <row r="446" spans="1:48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5"/>
      <c r="AB446" s="15"/>
      <c r="AC446" s="15"/>
      <c r="AD446" s="15"/>
      <c r="AE446" s="15"/>
      <c r="AF446" s="16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</row>
    <row r="447" spans="1:48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5"/>
      <c r="AB447" s="15"/>
      <c r="AC447" s="15"/>
      <c r="AD447" s="15"/>
      <c r="AE447" s="15"/>
      <c r="AF447" s="16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</row>
    <row r="448" spans="1: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5"/>
      <c r="AB448" s="15"/>
      <c r="AC448" s="15"/>
      <c r="AD448" s="15"/>
      <c r="AE448" s="15"/>
      <c r="AF448" s="16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</row>
    <row r="449" spans="1:48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5"/>
      <c r="AB449" s="15"/>
      <c r="AC449" s="15"/>
      <c r="AD449" s="15"/>
      <c r="AE449" s="15"/>
      <c r="AF449" s="16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</row>
    <row r="450" spans="1:48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5"/>
      <c r="AB450" s="15"/>
      <c r="AC450" s="15"/>
      <c r="AD450" s="15"/>
      <c r="AE450" s="15"/>
      <c r="AF450" s="16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</row>
    <row r="451" spans="1:48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5"/>
      <c r="AB451" s="15"/>
      <c r="AC451" s="15"/>
      <c r="AD451" s="15"/>
      <c r="AE451" s="15"/>
      <c r="AF451" s="16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</row>
    <row r="452" spans="1:48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5"/>
      <c r="AB452" s="15"/>
      <c r="AC452" s="15"/>
      <c r="AD452" s="15"/>
      <c r="AE452" s="15"/>
      <c r="AF452" s="16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</row>
    <row r="453" spans="1:48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5"/>
      <c r="AB453" s="15"/>
      <c r="AC453" s="15"/>
      <c r="AD453" s="15"/>
      <c r="AE453" s="15"/>
      <c r="AF453" s="16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</row>
    <row r="454" spans="1:48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5"/>
      <c r="AB454" s="15"/>
      <c r="AC454" s="15"/>
      <c r="AD454" s="15"/>
      <c r="AE454" s="15"/>
      <c r="AF454" s="16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</row>
    <row r="455" spans="1:48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5"/>
      <c r="AB455" s="15"/>
      <c r="AC455" s="15"/>
      <c r="AD455" s="15"/>
      <c r="AE455" s="15"/>
      <c r="AF455" s="16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</row>
    <row r="456" spans="1:48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5"/>
      <c r="AB456" s="15"/>
      <c r="AC456" s="15"/>
      <c r="AD456" s="15"/>
      <c r="AE456" s="15"/>
      <c r="AF456" s="16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</row>
    <row r="457" spans="1:48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5"/>
      <c r="AB457" s="15"/>
      <c r="AC457" s="15"/>
      <c r="AD457" s="15"/>
      <c r="AE457" s="15"/>
      <c r="AF457" s="16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</row>
    <row r="458" spans="1:4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5"/>
      <c r="AB458" s="15"/>
      <c r="AC458" s="15"/>
      <c r="AD458" s="15"/>
      <c r="AE458" s="15"/>
      <c r="AF458" s="16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</row>
    <row r="459" spans="1:48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5"/>
      <c r="AB459" s="15"/>
      <c r="AC459" s="15"/>
      <c r="AD459" s="15"/>
      <c r="AE459" s="15"/>
      <c r="AF459" s="16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</row>
    <row r="460" spans="1:48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5"/>
      <c r="AB460" s="15"/>
      <c r="AC460" s="15"/>
      <c r="AD460" s="15"/>
      <c r="AE460" s="15"/>
      <c r="AF460" s="16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</row>
    <row r="461" spans="1:48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5"/>
      <c r="AB461" s="15"/>
      <c r="AC461" s="15"/>
      <c r="AD461" s="15"/>
      <c r="AE461" s="15"/>
      <c r="AF461" s="16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</row>
    <row r="462" spans="1:48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5"/>
      <c r="AB462" s="15"/>
      <c r="AC462" s="15"/>
      <c r="AD462" s="15"/>
      <c r="AE462" s="15"/>
      <c r="AF462" s="16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</row>
    <row r="463" spans="1:48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5"/>
      <c r="AB463" s="15"/>
      <c r="AC463" s="15"/>
      <c r="AD463" s="15"/>
      <c r="AE463" s="15"/>
      <c r="AF463" s="16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</row>
    <row r="464" spans="1:48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5"/>
      <c r="AB464" s="15"/>
      <c r="AC464" s="15"/>
      <c r="AD464" s="15"/>
      <c r="AE464" s="15"/>
      <c r="AF464" s="16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</row>
    <row r="465" spans="1:48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5"/>
      <c r="AB465" s="15"/>
      <c r="AC465" s="15"/>
      <c r="AD465" s="15"/>
      <c r="AE465" s="15"/>
      <c r="AF465" s="16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</row>
    <row r="466" spans="1:48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5"/>
      <c r="AB466" s="15"/>
      <c r="AC466" s="15"/>
      <c r="AD466" s="15"/>
      <c r="AE466" s="15"/>
      <c r="AF466" s="16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</row>
    <row r="467" spans="1:48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5"/>
      <c r="AB467" s="15"/>
      <c r="AC467" s="15"/>
      <c r="AD467" s="15"/>
      <c r="AE467" s="15"/>
      <c r="AF467" s="16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</row>
    <row r="468" spans="1:4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5"/>
      <c r="AB468" s="15"/>
      <c r="AC468" s="15"/>
      <c r="AD468" s="15"/>
      <c r="AE468" s="15"/>
      <c r="AF468" s="16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</row>
    <row r="469" spans="1:48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5"/>
      <c r="AB469" s="15"/>
      <c r="AC469" s="15"/>
      <c r="AD469" s="15"/>
      <c r="AE469" s="15"/>
      <c r="AF469" s="16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</row>
    <row r="470" spans="1:48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5"/>
      <c r="AB470" s="15"/>
      <c r="AC470" s="15"/>
      <c r="AD470" s="15"/>
      <c r="AE470" s="15"/>
      <c r="AF470" s="16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</row>
    <row r="471" spans="1:48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5"/>
      <c r="AB471" s="15"/>
      <c r="AC471" s="15"/>
      <c r="AD471" s="15"/>
      <c r="AE471" s="15"/>
      <c r="AF471" s="16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</row>
    <row r="472" spans="1:48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5"/>
      <c r="AB472" s="15"/>
      <c r="AC472" s="15"/>
      <c r="AD472" s="15"/>
      <c r="AE472" s="15"/>
      <c r="AF472" s="16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</row>
    <row r="473" spans="1:48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5"/>
      <c r="AB473" s="15"/>
      <c r="AC473" s="15"/>
      <c r="AD473" s="15"/>
      <c r="AE473" s="15"/>
      <c r="AF473" s="16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</row>
    <row r="474" spans="1:48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5"/>
      <c r="AB474" s="15"/>
      <c r="AC474" s="15"/>
      <c r="AD474" s="15"/>
      <c r="AE474" s="15"/>
      <c r="AF474" s="16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</row>
    <row r="475" spans="1:48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5"/>
      <c r="AB475" s="15"/>
      <c r="AC475" s="15"/>
      <c r="AD475" s="15"/>
      <c r="AE475" s="15"/>
      <c r="AF475" s="16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</row>
    <row r="476" spans="1:48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5"/>
      <c r="AB476" s="15"/>
      <c r="AC476" s="15"/>
      <c r="AD476" s="15"/>
      <c r="AE476" s="15"/>
      <c r="AF476" s="16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</row>
    <row r="477" spans="1:48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5"/>
      <c r="AB477" s="15"/>
      <c r="AC477" s="15"/>
      <c r="AD477" s="15"/>
      <c r="AE477" s="15"/>
      <c r="AF477" s="16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</row>
    <row r="478" spans="1:4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5"/>
      <c r="AB478" s="15"/>
      <c r="AC478" s="15"/>
      <c r="AD478" s="15"/>
      <c r="AE478" s="15"/>
      <c r="AF478" s="16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</row>
    <row r="479" spans="1:48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5"/>
      <c r="AB479" s="15"/>
      <c r="AC479" s="15"/>
      <c r="AD479" s="15"/>
      <c r="AE479" s="15"/>
      <c r="AF479" s="16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</row>
    <row r="480" spans="1:48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5"/>
      <c r="AB480" s="15"/>
      <c r="AC480" s="15"/>
      <c r="AD480" s="15"/>
      <c r="AE480" s="15"/>
      <c r="AF480" s="16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</row>
    <row r="481" spans="1:48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5"/>
      <c r="AB481" s="15"/>
      <c r="AC481" s="15"/>
      <c r="AD481" s="15"/>
      <c r="AE481" s="15"/>
      <c r="AF481" s="16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</row>
    <row r="482" spans="1:48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5"/>
      <c r="AB482" s="15"/>
      <c r="AC482" s="15"/>
      <c r="AD482" s="15"/>
      <c r="AE482" s="15"/>
      <c r="AF482" s="16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</row>
    <row r="483" spans="1:48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5"/>
      <c r="AB483" s="15"/>
      <c r="AC483" s="15"/>
      <c r="AD483" s="15"/>
      <c r="AE483" s="15"/>
      <c r="AF483" s="16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</row>
    <row r="484" spans="1:48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5"/>
      <c r="AB484" s="15"/>
      <c r="AC484" s="15"/>
      <c r="AD484" s="15"/>
      <c r="AE484" s="15"/>
      <c r="AF484" s="16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</row>
    <row r="485" spans="1:48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5"/>
      <c r="AB485" s="15"/>
      <c r="AC485" s="15"/>
      <c r="AD485" s="15"/>
      <c r="AE485" s="15"/>
      <c r="AF485" s="16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</row>
    <row r="486" spans="1:48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5"/>
      <c r="AB486" s="15"/>
      <c r="AC486" s="15"/>
      <c r="AD486" s="15"/>
      <c r="AE486" s="15"/>
      <c r="AF486" s="16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</row>
    <row r="487" spans="1:48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5"/>
      <c r="AB487" s="15"/>
      <c r="AC487" s="15"/>
      <c r="AD487" s="15"/>
      <c r="AE487" s="15"/>
      <c r="AF487" s="16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</row>
    <row r="488" spans="1:4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5"/>
      <c r="AB488" s="15"/>
      <c r="AC488" s="15"/>
      <c r="AD488" s="15"/>
      <c r="AE488" s="15"/>
      <c r="AF488" s="16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</row>
    <row r="489" spans="1:48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5"/>
      <c r="AB489" s="15"/>
      <c r="AC489" s="15"/>
      <c r="AD489" s="15"/>
      <c r="AE489" s="15"/>
      <c r="AF489" s="16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</row>
    <row r="490" spans="1:48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5"/>
      <c r="AB490" s="15"/>
      <c r="AC490" s="15"/>
      <c r="AD490" s="15"/>
      <c r="AE490" s="15"/>
      <c r="AF490" s="16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</row>
    <row r="491" spans="1:48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5"/>
      <c r="AB491" s="15"/>
      <c r="AC491" s="15"/>
      <c r="AD491" s="15"/>
      <c r="AE491" s="15"/>
      <c r="AF491" s="16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</row>
    <row r="492" spans="1:48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5"/>
      <c r="AB492" s="15"/>
      <c r="AC492" s="15"/>
      <c r="AD492" s="15"/>
      <c r="AE492" s="15"/>
      <c r="AF492" s="16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</row>
    <row r="493" spans="1:48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5"/>
      <c r="AB493" s="15"/>
      <c r="AC493" s="15"/>
      <c r="AD493" s="15"/>
      <c r="AE493" s="15"/>
      <c r="AF493" s="16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</row>
    <row r="494" spans="1:48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5"/>
      <c r="AB494" s="15"/>
      <c r="AC494" s="15"/>
      <c r="AD494" s="15"/>
      <c r="AE494" s="15"/>
      <c r="AF494" s="16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</row>
    <row r="495" spans="1:48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5"/>
      <c r="AB495" s="15"/>
      <c r="AC495" s="15"/>
      <c r="AD495" s="15"/>
      <c r="AE495" s="15"/>
      <c r="AF495" s="16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</row>
    <row r="496" spans="1:48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5"/>
      <c r="AB496" s="15"/>
      <c r="AC496" s="15"/>
      <c r="AD496" s="15"/>
      <c r="AE496" s="15"/>
      <c r="AF496" s="16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</row>
    <row r="497" spans="1:48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5"/>
      <c r="AB497" s="15"/>
      <c r="AC497" s="15"/>
      <c r="AD497" s="15"/>
      <c r="AE497" s="15"/>
      <c r="AF497" s="16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</row>
    <row r="498" spans="1:4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5"/>
      <c r="AB498" s="15"/>
      <c r="AC498" s="15"/>
      <c r="AD498" s="15"/>
      <c r="AE498" s="15"/>
      <c r="AF498" s="16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</row>
    <row r="499" spans="1:48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5"/>
      <c r="AB499" s="15"/>
      <c r="AC499" s="15"/>
      <c r="AD499" s="15"/>
      <c r="AE499" s="15"/>
      <c r="AF499" s="16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</row>
    <row r="500" spans="1:48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5"/>
      <c r="AB500" s="15"/>
      <c r="AC500" s="15"/>
      <c r="AD500" s="15"/>
      <c r="AE500" s="15"/>
      <c r="AF500" s="16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</row>
    <row r="501" spans="1:48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5"/>
      <c r="AB501" s="15"/>
      <c r="AC501" s="15"/>
      <c r="AD501" s="15"/>
      <c r="AE501" s="15"/>
      <c r="AF501" s="16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</row>
    <row r="502" spans="1:48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5"/>
      <c r="AB502" s="15"/>
      <c r="AC502" s="15"/>
      <c r="AD502" s="15"/>
      <c r="AE502" s="15"/>
      <c r="AF502" s="16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</row>
    <row r="503" spans="1:48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5"/>
      <c r="AB503" s="15"/>
      <c r="AC503" s="15"/>
      <c r="AD503" s="15"/>
      <c r="AE503" s="15"/>
      <c r="AF503" s="16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</row>
    <row r="504" spans="1:48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5"/>
      <c r="AB504" s="15"/>
      <c r="AC504" s="15"/>
      <c r="AD504" s="15"/>
      <c r="AE504" s="15"/>
      <c r="AF504" s="16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</row>
    <row r="505" spans="1:48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5"/>
      <c r="AB505" s="15"/>
      <c r="AC505" s="15"/>
      <c r="AD505" s="15"/>
      <c r="AE505" s="15"/>
      <c r="AF505" s="16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</row>
    <row r="506" spans="1:48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5"/>
      <c r="AB506" s="15"/>
      <c r="AC506" s="15"/>
      <c r="AD506" s="15"/>
      <c r="AE506" s="15"/>
      <c r="AF506" s="16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</row>
    <row r="507" spans="1:48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5"/>
      <c r="AB507" s="15"/>
      <c r="AC507" s="15"/>
      <c r="AD507" s="15"/>
      <c r="AE507" s="15"/>
      <c r="AF507" s="16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</row>
    <row r="508" spans="1:4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5"/>
      <c r="AB508" s="15"/>
      <c r="AC508" s="15"/>
      <c r="AD508" s="15"/>
      <c r="AE508" s="15"/>
      <c r="AF508" s="16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</row>
    <row r="509" spans="1:48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5"/>
      <c r="AB509" s="15"/>
      <c r="AC509" s="15"/>
      <c r="AD509" s="15"/>
      <c r="AE509" s="15"/>
      <c r="AF509" s="16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</row>
    <row r="510" spans="1:48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5"/>
      <c r="AB510" s="15"/>
      <c r="AC510" s="15"/>
      <c r="AD510" s="15"/>
      <c r="AE510" s="15"/>
      <c r="AF510" s="16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</row>
    <row r="511" spans="1:48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5"/>
      <c r="AB511" s="15"/>
      <c r="AC511" s="15"/>
      <c r="AD511" s="15"/>
      <c r="AE511" s="15"/>
      <c r="AF511" s="16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</row>
    <row r="512" spans="1:48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5"/>
      <c r="AB512" s="15"/>
      <c r="AC512" s="15"/>
      <c r="AD512" s="15"/>
      <c r="AE512" s="15"/>
      <c r="AF512" s="16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</row>
    <row r="513" spans="1:48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5"/>
      <c r="AB513" s="15"/>
      <c r="AC513" s="15"/>
      <c r="AD513" s="15"/>
      <c r="AE513" s="15"/>
      <c r="AF513" s="16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</row>
    <row r="514" spans="1:48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5"/>
      <c r="AB514" s="15"/>
      <c r="AC514" s="15"/>
      <c r="AD514" s="15"/>
      <c r="AE514" s="15"/>
      <c r="AF514" s="16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</row>
    <row r="515" spans="1:48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5"/>
      <c r="AB515" s="15"/>
      <c r="AC515" s="15"/>
      <c r="AD515" s="15"/>
      <c r="AE515" s="15"/>
      <c r="AF515" s="16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</row>
    <row r="516" spans="1:48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5"/>
      <c r="AB516" s="15"/>
      <c r="AC516" s="15"/>
      <c r="AD516" s="15"/>
      <c r="AE516" s="15"/>
      <c r="AF516" s="16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</row>
    <row r="517" spans="1:48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5"/>
      <c r="AB517" s="15"/>
      <c r="AC517" s="15"/>
      <c r="AD517" s="15"/>
      <c r="AE517" s="15"/>
      <c r="AF517" s="16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</row>
    <row r="518" spans="1:4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5"/>
      <c r="AB518" s="15"/>
      <c r="AC518" s="15"/>
      <c r="AD518" s="15"/>
      <c r="AE518" s="15"/>
      <c r="AF518" s="16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</row>
    <row r="519" spans="1:48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5"/>
      <c r="AB519" s="15"/>
      <c r="AC519" s="15"/>
      <c r="AD519" s="15"/>
      <c r="AE519" s="15"/>
      <c r="AF519" s="16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</row>
    <row r="520" spans="1:48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5"/>
      <c r="AB520" s="15"/>
      <c r="AC520" s="15"/>
      <c r="AD520" s="15"/>
      <c r="AE520" s="15"/>
      <c r="AF520" s="16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</row>
    <row r="521" spans="1:48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5"/>
      <c r="AB521" s="15"/>
      <c r="AC521" s="15"/>
      <c r="AD521" s="15"/>
      <c r="AE521" s="15"/>
      <c r="AF521" s="16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</row>
    <row r="522" spans="1:48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5"/>
      <c r="AB522" s="15"/>
      <c r="AC522" s="15"/>
      <c r="AD522" s="15"/>
      <c r="AE522" s="15"/>
      <c r="AF522" s="16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</row>
    <row r="523" spans="1:48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5"/>
      <c r="AB523" s="15"/>
      <c r="AC523" s="15"/>
      <c r="AD523" s="15"/>
      <c r="AE523" s="15"/>
      <c r="AF523" s="16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</row>
    <row r="524" spans="1:48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5"/>
      <c r="AB524" s="15"/>
      <c r="AC524" s="15"/>
      <c r="AD524" s="15"/>
      <c r="AE524" s="15"/>
      <c r="AF524" s="16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</row>
    <row r="525" spans="1:48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5"/>
      <c r="AB525" s="15"/>
      <c r="AC525" s="15"/>
      <c r="AD525" s="15"/>
      <c r="AE525" s="15"/>
      <c r="AF525" s="16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</row>
    <row r="526" spans="1:48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5"/>
      <c r="AB526" s="15"/>
      <c r="AC526" s="15"/>
      <c r="AD526" s="15"/>
      <c r="AE526" s="15"/>
      <c r="AF526" s="16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</row>
    <row r="527" spans="1:48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5"/>
      <c r="AB527" s="15"/>
      <c r="AC527" s="15"/>
      <c r="AD527" s="15"/>
      <c r="AE527" s="15"/>
      <c r="AF527" s="16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</row>
    <row r="528" spans="1:4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5"/>
      <c r="AB528" s="15"/>
      <c r="AC528" s="15"/>
      <c r="AD528" s="15"/>
      <c r="AE528" s="15"/>
      <c r="AF528" s="16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</row>
    <row r="529" spans="1:48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5"/>
      <c r="AB529" s="15"/>
      <c r="AC529" s="15"/>
      <c r="AD529" s="15"/>
      <c r="AE529" s="15"/>
      <c r="AF529" s="16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</row>
    <row r="530" spans="1:48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5"/>
      <c r="AB530" s="15"/>
      <c r="AC530" s="15"/>
      <c r="AD530" s="15"/>
      <c r="AE530" s="15"/>
      <c r="AF530" s="16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</row>
    <row r="531" spans="1:48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5"/>
      <c r="AB531" s="15"/>
      <c r="AC531" s="15"/>
      <c r="AD531" s="15"/>
      <c r="AE531" s="15"/>
      <c r="AF531" s="16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</row>
    <row r="532" spans="1:48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5"/>
      <c r="AB532" s="15"/>
      <c r="AC532" s="15"/>
      <c r="AD532" s="15"/>
      <c r="AE532" s="15"/>
      <c r="AF532" s="16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</row>
    <row r="533" spans="1:48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5"/>
      <c r="AB533" s="15"/>
      <c r="AC533" s="15"/>
      <c r="AD533" s="15"/>
      <c r="AE533" s="15"/>
      <c r="AF533" s="16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</row>
    <row r="534" spans="1:48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5"/>
      <c r="AB534" s="15"/>
      <c r="AC534" s="15"/>
      <c r="AD534" s="15"/>
      <c r="AE534" s="15"/>
      <c r="AF534" s="16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</row>
    <row r="535" spans="1:48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5"/>
      <c r="AB535" s="15"/>
      <c r="AC535" s="15"/>
      <c r="AD535" s="15"/>
      <c r="AE535" s="15"/>
      <c r="AF535" s="16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</row>
    <row r="536" spans="1:48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5"/>
      <c r="AB536" s="15"/>
      <c r="AC536" s="15"/>
      <c r="AD536" s="15"/>
      <c r="AE536" s="15"/>
      <c r="AF536" s="16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</row>
    <row r="537" spans="1:48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5"/>
      <c r="AB537" s="15"/>
      <c r="AC537" s="15"/>
      <c r="AD537" s="15"/>
      <c r="AE537" s="15"/>
      <c r="AF537" s="16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</row>
    <row r="538" spans="1:4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5"/>
      <c r="AB538" s="15"/>
      <c r="AC538" s="15"/>
      <c r="AD538" s="15"/>
      <c r="AE538" s="15"/>
      <c r="AF538" s="16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</row>
    <row r="539" spans="1:48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5"/>
      <c r="AB539" s="15"/>
      <c r="AC539" s="15"/>
      <c r="AD539" s="15"/>
      <c r="AE539" s="15"/>
      <c r="AF539" s="16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</row>
    <row r="540" spans="1:48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5"/>
      <c r="AB540" s="15"/>
      <c r="AC540" s="15"/>
      <c r="AD540" s="15"/>
      <c r="AE540" s="15"/>
      <c r="AF540" s="16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</row>
    <row r="541" spans="1:48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5"/>
      <c r="AB541" s="15"/>
      <c r="AC541" s="15"/>
      <c r="AD541" s="15"/>
      <c r="AE541" s="15"/>
      <c r="AF541" s="16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</row>
    <row r="542" spans="1:48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5"/>
      <c r="AB542" s="15"/>
      <c r="AC542" s="15"/>
      <c r="AD542" s="15"/>
      <c r="AE542" s="15"/>
      <c r="AF542" s="16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</row>
    <row r="543" spans="1:48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5"/>
      <c r="AB543" s="15"/>
      <c r="AC543" s="15"/>
      <c r="AD543" s="15"/>
      <c r="AE543" s="15"/>
      <c r="AF543" s="16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</row>
    <row r="544" spans="1:48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5"/>
      <c r="AB544" s="15"/>
      <c r="AC544" s="15"/>
      <c r="AD544" s="15"/>
      <c r="AE544" s="15"/>
      <c r="AF544" s="16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</row>
    <row r="545" spans="1:48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5"/>
      <c r="AB545" s="15"/>
      <c r="AC545" s="15"/>
      <c r="AD545" s="15"/>
      <c r="AE545" s="15"/>
      <c r="AF545" s="16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</row>
    <row r="546" spans="1:48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5"/>
      <c r="AB546" s="15"/>
      <c r="AC546" s="15"/>
      <c r="AD546" s="15"/>
      <c r="AE546" s="15"/>
      <c r="AF546" s="16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</row>
    <row r="547" spans="1:48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5"/>
      <c r="AB547" s="15"/>
      <c r="AC547" s="15"/>
      <c r="AD547" s="15"/>
      <c r="AE547" s="15"/>
      <c r="AF547" s="16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</row>
    <row r="548" spans="1: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5"/>
      <c r="AB548" s="15"/>
      <c r="AC548" s="15"/>
      <c r="AD548" s="15"/>
      <c r="AE548" s="15"/>
      <c r="AF548" s="16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</row>
    <row r="549" spans="1:48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5"/>
      <c r="AB549" s="15"/>
      <c r="AC549" s="15"/>
      <c r="AD549" s="15"/>
      <c r="AE549" s="15"/>
      <c r="AF549" s="16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</row>
    <row r="550" spans="1:48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5"/>
      <c r="AB550" s="15"/>
      <c r="AC550" s="15"/>
      <c r="AD550" s="15"/>
      <c r="AE550" s="15"/>
      <c r="AF550" s="16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</row>
    <row r="551" spans="1:48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5"/>
      <c r="AB551" s="15"/>
      <c r="AC551" s="15"/>
      <c r="AD551" s="15"/>
      <c r="AE551" s="15"/>
      <c r="AF551" s="16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</row>
    <row r="552" spans="1:48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5"/>
      <c r="AB552" s="15"/>
      <c r="AC552" s="15"/>
      <c r="AD552" s="15"/>
      <c r="AE552" s="15"/>
      <c r="AF552" s="16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</row>
    <row r="553" spans="1:48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5"/>
      <c r="AB553" s="15"/>
      <c r="AC553" s="15"/>
      <c r="AD553" s="15"/>
      <c r="AE553" s="15"/>
      <c r="AF553" s="16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</row>
    <row r="554" spans="1:48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5"/>
      <c r="AB554" s="15"/>
      <c r="AC554" s="15"/>
      <c r="AD554" s="15"/>
      <c r="AE554" s="15"/>
      <c r="AF554" s="16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</row>
    <row r="555" spans="1:48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5"/>
      <c r="AB555" s="15"/>
      <c r="AC555" s="15"/>
      <c r="AD555" s="15"/>
      <c r="AE555" s="15"/>
      <c r="AF555" s="16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</row>
    <row r="556" spans="1:48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5"/>
      <c r="AB556" s="15"/>
      <c r="AC556" s="15"/>
      <c r="AD556" s="15"/>
      <c r="AE556" s="15"/>
      <c r="AF556" s="16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</row>
    <row r="557" spans="1:48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5"/>
      <c r="AB557" s="15"/>
      <c r="AC557" s="15"/>
      <c r="AD557" s="15"/>
      <c r="AE557" s="15"/>
      <c r="AF557" s="16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</row>
    <row r="558" spans="1:4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5"/>
      <c r="AB558" s="15"/>
      <c r="AC558" s="15"/>
      <c r="AD558" s="15"/>
      <c r="AE558" s="15"/>
      <c r="AF558" s="16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</row>
    <row r="559" spans="1:48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5"/>
      <c r="AB559" s="15"/>
      <c r="AC559" s="15"/>
      <c r="AD559" s="15"/>
      <c r="AE559" s="15"/>
      <c r="AF559" s="16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</row>
    <row r="560" spans="1:48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5"/>
      <c r="AB560" s="15"/>
      <c r="AC560" s="15"/>
      <c r="AD560" s="15"/>
      <c r="AE560" s="15"/>
      <c r="AF560" s="16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</row>
    <row r="561" spans="1:48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5"/>
      <c r="AB561" s="15"/>
      <c r="AC561" s="15"/>
      <c r="AD561" s="15"/>
      <c r="AE561" s="15"/>
      <c r="AF561" s="16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</row>
    <row r="562" spans="1:48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5"/>
      <c r="AB562" s="15"/>
      <c r="AC562" s="15"/>
      <c r="AD562" s="15"/>
      <c r="AE562" s="15"/>
      <c r="AF562" s="16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</row>
    <row r="563" spans="1:48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5"/>
      <c r="AB563" s="15"/>
      <c r="AC563" s="15"/>
      <c r="AD563" s="15"/>
      <c r="AE563" s="15"/>
      <c r="AF563" s="16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</row>
    <row r="564" spans="1:48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5"/>
      <c r="AB564" s="15"/>
      <c r="AC564" s="15"/>
      <c r="AD564" s="15"/>
      <c r="AE564" s="15"/>
      <c r="AF564" s="16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</row>
    <row r="565" spans="1:48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5"/>
      <c r="AB565" s="15"/>
      <c r="AC565" s="15"/>
      <c r="AD565" s="15"/>
      <c r="AE565" s="15"/>
      <c r="AF565" s="16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</row>
    <row r="566" spans="1:48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5"/>
      <c r="AB566" s="15"/>
      <c r="AC566" s="15"/>
      <c r="AD566" s="15"/>
      <c r="AE566" s="15"/>
      <c r="AF566" s="16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</row>
    <row r="567" spans="1:48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5"/>
      <c r="AB567" s="15"/>
      <c r="AC567" s="15"/>
      <c r="AD567" s="15"/>
      <c r="AE567" s="15"/>
      <c r="AF567" s="16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</row>
    <row r="568" spans="1:4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5"/>
      <c r="AB568" s="15"/>
      <c r="AC568" s="15"/>
      <c r="AD568" s="15"/>
      <c r="AE568" s="15"/>
      <c r="AF568" s="16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</row>
    <row r="569" spans="1:48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5"/>
      <c r="AB569" s="15"/>
      <c r="AC569" s="15"/>
      <c r="AD569" s="15"/>
      <c r="AE569" s="15"/>
      <c r="AF569" s="16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</row>
    <row r="570" spans="1:48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5"/>
      <c r="AB570" s="15"/>
      <c r="AC570" s="15"/>
      <c r="AD570" s="15"/>
      <c r="AE570" s="15"/>
      <c r="AF570" s="16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</row>
    <row r="571" spans="1:48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5"/>
      <c r="AB571" s="15"/>
      <c r="AC571" s="15"/>
      <c r="AD571" s="15"/>
      <c r="AE571" s="15"/>
      <c r="AF571" s="16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</row>
    <row r="572" spans="1:48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5"/>
      <c r="AB572" s="15"/>
      <c r="AC572" s="15"/>
      <c r="AD572" s="15"/>
      <c r="AE572" s="15"/>
      <c r="AF572" s="16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</row>
    <row r="573" spans="1:48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5"/>
      <c r="AB573" s="15"/>
      <c r="AC573" s="15"/>
      <c r="AD573" s="15"/>
      <c r="AE573" s="15"/>
      <c r="AF573" s="16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</row>
    <row r="574" spans="1:48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5"/>
      <c r="AB574" s="15"/>
      <c r="AC574" s="15"/>
      <c r="AD574" s="15"/>
      <c r="AE574" s="15"/>
      <c r="AF574" s="16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</row>
    <row r="575" spans="1:48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5"/>
      <c r="AB575" s="15"/>
      <c r="AC575" s="15"/>
      <c r="AD575" s="15"/>
      <c r="AE575" s="15"/>
      <c r="AF575" s="16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</row>
    <row r="576" spans="1:48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5"/>
      <c r="AB576" s="15"/>
      <c r="AC576" s="15"/>
      <c r="AD576" s="15"/>
      <c r="AE576" s="15"/>
      <c r="AF576" s="16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</row>
    <row r="577" spans="1:48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5"/>
      <c r="AB577" s="15"/>
      <c r="AC577" s="15"/>
      <c r="AD577" s="15"/>
      <c r="AE577" s="15"/>
      <c r="AF577" s="16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</row>
    <row r="578" spans="1:4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5"/>
      <c r="AB578" s="15"/>
      <c r="AC578" s="15"/>
      <c r="AD578" s="15"/>
      <c r="AE578" s="15"/>
      <c r="AF578" s="16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</row>
    <row r="579" spans="1:48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5"/>
      <c r="AB579" s="15"/>
      <c r="AC579" s="15"/>
      <c r="AD579" s="15"/>
      <c r="AE579" s="15"/>
      <c r="AF579" s="16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</row>
    <row r="580" spans="1:48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5"/>
      <c r="AB580" s="15"/>
      <c r="AC580" s="15"/>
      <c r="AD580" s="15"/>
      <c r="AE580" s="15"/>
      <c r="AF580" s="16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</row>
    <row r="581" spans="1:48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5"/>
      <c r="AB581" s="15"/>
      <c r="AC581" s="15"/>
      <c r="AD581" s="15"/>
      <c r="AE581" s="15"/>
      <c r="AF581" s="16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</row>
    <row r="582" spans="1:48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5"/>
      <c r="AB582" s="15"/>
      <c r="AC582" s="15"/>
      <c r="AD582" s="15"/>
      <c r="AE582" s="15"/>
      <c r="AF582" s="16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</row>
    <row r="583" spans="1:48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5"/>
      <c r="AB583" s="15"/>
      <c r="AC583" s="15"/>
      <c r="AD583" s="15"/>
      <c r="AE583" s="15"/>
      <c r="AF583" s="16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</row>
    <row r="584" spans="1:48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5"/>
      <c r="AB584" s="15"/>
      <c r="AC584" s="15"/>
      <c r="AD584" s="15"/>
      <c r="AE584" s="15"/>
      <c r="AF584" s="16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</row>
    <row r="585" spans="1:48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5"/>
      <c r="AB585" s="15"/>
      <c r="AC585" s="15"/>
      <c r="AD585" s="15"/>
      <c r="AE585" s="15"/>
      <c r="AF585" s="16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</row>
    <row r="586" spans="1:48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5"/>
      <c r="AB586" s="15"/>
      <c r="AC586" s="15"/>
      <c r="AD586" s="15"/>
      <c r="AE586" s="15"/>
      <c r="AF586" s="16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</row>
    <row r="587" spans="1:48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5"/>
      <c r="AB587" s="15"/>
      <c r="AC587" s="15"/>
      <c r="AD587" s="15"/>
      <c r="AE587" s="15"/>
      <c r="AF587" s="16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</row>
    <row r="588" spans="1:4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5"/>
      <c r="AB588" s="15"/>
      <c r="AC588" s="15"/>
      <c r="AD588" s="15"/>
      <c r="AE588" s="15"/>
      <c r="AF588" s="16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</row>
    <row r="589" spans="1:48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5"/>
      <c r="AB589" s="15"/>
      <c r="AC589" s="15"/>
      <c r="AD589" s="15"/>
      <c r="AE589" s="15"/>
      <c r="AF589" s="16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</row>
    <row r="590" spans="1:48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5"/>
      <c r="AB590" s="15"/>
      <c r="AC590" s="15"/>
      <c r="AD590" s="15"/>
      <c r="AE590" s="15"/>
      <c r="AF590" s="16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</row>
    <row r="591" spans="1:48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5"/>
      <c r="AB591" s="15"/>
      <c r="AC591" s="15"/>
      <c r="AD591" s="15"/>
      <c r="AE591" s="15"/>
      <c r="AF591" s="16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</row>
    <row r="592" spans="1:48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5"/>
      <c r="AB592" s="15"/>
      <c r="AC592" s="15"/>
      <c r="AD592" s="15"/>
      <c r="AE592" s="15"/>
      <c r="AF592" s="16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</row>
    <row r="593" spans="1:48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5"/>
      <c r="AB593" s="15"/>
      <c r="AC593" s="15"/>
      <c r="AD593" s="15"/>
      <c r="AE593" s="15"/>
      <c r="AF593" s="16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</row>
    <row r="594" spans="1:48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5"/>
      <c r="AB594" s="15"/>
      <c r="AC594" s="15"/>
      <c r="AD594" s="15"/>
      <c r="AE594" s="15"/>
      <c r="AF594" s="16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</row>
    <row r="595" spans="1:48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5"/>
      <c r="AB595" s="15"/>
      <c r="AC595" s="15"/>
      <c r="AD595" s="15"/>
      <c r="AE595" s="15"/>
      <c r="AF595" s="16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</row>
    <row r="596" spans="1:48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5"/>
      <c r="AB596" s="15"/>
      <c r="AC596" s="15"/>
      <c r="AD596" s="15"/>
      <c r="AE596" s="15"/>
      <c r="AF596" s="16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</row>
    <row r="597" spans="1:48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5"/>
      <c r="AB597" s="15"/>
      <c r="AC597" s="15"/>
      <c r="AD597" s="15"/>
      <c r="AE597" s="15"/>
      <c r="AF597" s="16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</row>
    <row r="598" spans="1:4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5"/>
      <c r="AB598" s="15"/>
      <c r="AC598" s="15"/>
      <c r="AD598" s="15"/>
      <c r="AE598" s="15"/>
      <c r="AF598" s="16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</row>
    <row r="599" spans="1:48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5"/>
      <c r="AB599" s="15"/>
      <c r="AC599" s="15"/>
      <c r="AD599" s="15"/>
      <c r="AE599" s="15"/>
      <c r="AF599" s="16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</row>
    <row r="600" spans="1:48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5"/>
      <c r="AB600" s="15"/>
      <c r="AC600" s="15"/>
      <c r="AD600" s="15"/>
      <c r="AE600" s="15"/>
      <c r="AF600" s="16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</row>
    <row r="601" spans="1:48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5"/>
      <c r="AB601" s="15"/>
      <c r="AC601" s="15"/>
      <c r="AD601" s="15"/>
      <c r="AE601" s="15"/>
      <c r="AF601" s="16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</row>
    <row r="602" spans="1:48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5"/>
      <c r="AB602" s="15"/>
      <c r="AC602" s="15"/>
      <c r="AD602" s="15"/>
      <c r="AE602" s="15"/>
      <c r="AF602" s="16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</row>
    <row r="603" spans="1:48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5"/>
      <c r="AB603" s="15"/>
      <c r="AC603" s="15"/>
      <c r="AD603" s="15"/>
      <c r="AE603" s="15"/>
      <c r="AF603" s="16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</row>
    <row r="604" spans="1:48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5"/>
      <c r="AB604" s="15"/>
      <c r="AC604" s="15"/>
      <c r="AD604" s="15"/>
      <c r="AE604" s="15"/>
      <c r="AF604" s="16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</row>
    <row r="605" spans="1:48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5"/>
      <c r="AB605" s="15"/>
      <c r="AC605" s="15"/>
      <c r="AD605" s="15"/>
      <c r="AE605" s="15"/>
      <c r="AF605" s="16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</row>
    <row r="606" spans="1:48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5"/>
      <c r="AB606" s="15"/>
      <c r="AC606" s="15"/>
      <c r="AD606" s="15"/>
      <c r="AE606" s="15"/>
      <c r="AF606" s="16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</row>
    <row r="607" spans="1:48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5"/>
      <c r="AB607" s="15"/>
      <c r="AC607" s="15"/>
      <c r="AD607" s="15"/>
      <c r="AE607" s="15"/>
      <c r="AF607" s="16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</row>
    <row r="608" spans="1:4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5"/>
      <c r="AB608" s="15"/>
      <c r="AC608" s="15"/>
      <c r="AD608" s="15"/>
      <c r="AE608" s="15"/>
      <c r="AF608" s="16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</row>
    <row r="609" spans="1:48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5"/>
      <c r="AB609" s="15"/>
      <c r="AC609" s="15"/>
      <c r="AD609" s="15"/>
      <c r="AE609" s="15"/>
      <c r="AF609" s="16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</row>
    <row r="610" spans="1:48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5"/>
      <c r="AB610" s="15"/>
      <c r="AC610" s="15"/>
      <c r="AD610" s="15"/>
      <c r="AE610" s="15"/>
      <c r="AF610" s="16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</row>
    <row r="611" spans="1:48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5"/>
      <c r="AB611" s="15"/>
      <c r="AC611" s="15"/>
      <c r="AD611" s="15"/>
      <c r="AE611" s="15"/>
      <c r="AF611" s="16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</row>
    <row r="612" spans="1:48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5"/>
      <c r="AB612" s="15"/>
      <c r="AC612" s="15"/>
      <c r="AD612" s="15"/>
      <c r="AE612" s="15"/>
      <c r="AF612" s="16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</row>
    <row r="613" spans="1:48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5"/>
      <c r="AB613" s="15"/>
      <c r="AC613" s="15"/>
      <c r="AD613" s="15"/>
      <c r="AE613" s="15"/>
      <c r="AF613" s="16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</row>
    <row r="614" spans="1:48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5"/>
      <c r="AB614" s="15"/>
      <c r="AC614" s="15"/>
      <c r="AD614" s="15"/>
      <c r="AE614" s="15"/>
      <c r="AF614" s="16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</row>
    <row r="615" spans="1:48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5"/>
      <c r="AB615" s="15"/>
      <c r="AC615" s="15"/>
      <c r="AD615" s="15"/>
      <c r="AE615" s="15"/>
      <c r="AF615" s="16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</row>
    <row r="616" spans="1:48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5"/>
      <c r="AB616" s="15"/>
      <c r="AC616" s="15"/>
      <c r="AD616" s="15"/>
      <c r="AE616" s="15"/>
      <c r="AF616" s="16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</row>
    <row r="617" spans="1:48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5"/>
      <c r="AB617" s="15"/>
      <c r="AC617" s="15"/>
      <c r="AD617" s="15"/>
      <c r="AE617" s="15"/>
      <c r="AF617" s="16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</row>
    <row r="618" spans="1:4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5"/>
      <c r="AB618" s="15"/>
      <c r="AC618" s="15"/>
      <c r="AD618" s="15"/>
      <c r="AE618" s="15"/>
      <c r="AF618" s="16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</row>
    <row r="619" spans="1:48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5"/>
      <c r="AB619" s="15"/>
      <c r="AC619" s="15"/>
      <c r="AD619" s="15"/>
      <c r="AE619" s="15"/>
      <c r="AF619" s="16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</row>
    <row r="620" spans="1:48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5"/>
      <c r="AB620" s="15"/>
      <c r="AC620" s="15"/>
      <c r="AD620" s="15"/>
      <c r="AE620" s="15"/>
      <c r="AF620" s="16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</row>
    <row r="621" spans="1:48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5"/>
      <c r="AB621" s="15"/>
      <c r="AC621" s="15"/>
      <c r="AD621" s="15"/>
      <c r="AE621" s="15"/>
      <c r="AF621" s="16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</row>
    <row r="622" spans="1:48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5"/>
      <c r="AB622" s="15"/>
      <c r="AC622" s="15"/>
      <c r="AD622" s="15"/>
      <c r="AE622" s="15"/>
      <c r="AF622" s="16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</row>
    <row r="623" spans="1:48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5"/>
      <c r="AB623" s="15"/>
      <c r="AC623" s="15"/>
      <c r="AD623" s="15"/>
      <c r="AE623" s="15"/>
      <c r="AF623" s="16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</row>
    <row r="624" spans="1:48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5"/>
      <c r="AB624" s="15"/>
      <c r="AC624" s="15"/>
      <c r="AD624" s="15"/>
      <c r="AE624" s="15"/>
      <c r="AF624" s="16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</row>
    <row r="625" spans="1:48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5"/>
      <c r="AB625" s="15"/>
      <c r="AC625" s="15"/>
      <c r="AD625" s="15"/>
      <c r="AE625" s="15"/>
      <c r="AF625" s="16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</row>
    <row r="626" spans="1:48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5"/>
      <c r="AB626" s="15"/>
      <c r="AC626" s="15"/>
      <c r="AD626" s="15"/>
      <c r="AE626" s="15"/>
      <c r="AF626" s="16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</row>
    <row r="627" spans="1:48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5"/>
      <c r="AB627" s="15"/>
      <c r="AC627" s="15"/>
      <c r="AD627" s="15"/>
      <c r="AE627" s="15"/>
      <c r="AF627" s="16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</row>
    <row r="628" spans="1:4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5"/>
      <c r="AB628" s="15"/>
      <c r="AC628" s="15"/>
      <c r="AD628" s="15"/>
      <c r="AE628" s="15"/>
      <c r="AF628" s="16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</row>
    <row r="629" spans="1:48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5"/>
      <c r="AB629" s="15"/>
      <c r="AC629" s="15"/>
      <c r="AD629" s="15"/>
      <c r="AE629" s="15"/>
      <c r="AF629" s="16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</row>
    <row r="630" spans="1:48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5"/>
      <c r="AB630" s="15"/>
      <c r="AC630" s="15"/>
      <c r="AD630" s="15"/>
      <c r="AE630" s="15"/>
      <c r="AF630" s="16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</row>
    <row r="631" spans="1:48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5"/>
      <c r="AB631" s="15"/>
      <c r="AC631" s="15"/>
      <c r="AD631" s="15"/>
      <c r="AE631" s="15"/>
      <c r="AF631" s="16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</row>
    <row r="632" spans="1:48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5"/>
      <c r="AB632" s="15"/>
      <c r="AC632" s="15"/>
      <c r="AD632" s="15"/>
      <c r="AE632" s="15"/>
      <c r="AF632" s="16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</row>
    <row r="633" spans="1:48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5"/>
      <c r="AB633" s="15"/>
      <c r="AC633" s="15"/>
      <c r="AD633" s="15"/>
      <c r="AE633" s="15"/>
      <c r="AF633" s="16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</row>
    <row r="634" spans="1:48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5"/>
      <c r="AB634" s="15"/>
      <c r="AC634" s="15"/>
      <c r="AD634" s="15"/>
      <c r="AE634" s="15"/>
      <c r="AF634" s="16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</row>
    <row r="635" spans="1:48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5"/>
      <c r="AB635" s="15"/>
      <c r="AC635" s="15"/>
      <c r="AD635" s="15"/>
      <c r="AE635" s="15"/>
      <c r="AF635" s="16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</row>
    <row r="636" spans="1:48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5"/>
      <c r="AB636" s="15"/>
      <c r="AC636" s="15"/>
      <c r="AD636" s="15"/>
      <c r="AE636" s="15"/>
      <c r="AF636" s="16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</row>
    <row r="637" spans="1:48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5"/>
      <c r="AB637" s="15"/>
      <c r="AC637" s="15"/>
      <c r="AD637" s="15"/>
      <c r="AE637" s="15"/>
      <c r="AF637" s="16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</row>
    <row r="638" spans="1:4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5"/>
      <c r="AB638" s="15"/>
      <c r="AC638" s="15"/>
      <c r="AD638" s="15"/>
      <c r="AE638" s="15"/>
      <c r="AF638" s="16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</row>
    <row r="639" spans="1:48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5"/>
      <c r="AB639" s="15"/>
      <c r="AC639" s="15"/>
      <c r="AD639" s="15"/>
      <c r="AE639" s="15"/>
      <c r="AF639" s="16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</row>
    <row r="640" spans="1:48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5"/>
      <c r="AB640" s="15"/>
      <c r="AC640" s="15"/>
      <c r="AD640" s="15"/>
      <c r="AE640" s="15"/>
      <c r="AF640" s="16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</row>
    <row r="641" spans="1:48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5"/>
      <c r="AB641" s="15"/>
      <c r="AC641" s="15"/>
      <c r="AD641" s="15"/>
      <c r="AE641" s="15"/>
      <c r="AF641" s="16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</row>
    <row r="642" spans="1:48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5"/>
      <c r="AB642" s="15"/>
      <c r="AC642" s="15"/>
      <c r="AD642" s="15"/>
      <c r="AE642" s="15"/>
      <c r="AF642" s="16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</row>
    <row r="643" spans="1:48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5"/>
      <c r="AB643" s="15"/>
      <c r="AC643" s="15"/>
      <c r="AD643" s="15"/>
      <c r="AE643" s="15"/>
      <c r="AF643" s="16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</row>
    <row r="644" spans="1:48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5"/>
      <c r="AB644" s="15"/>
      <c r="AC644" s="15"/>
      <c r="AD644" s="15"/>
      <c r="AE644" s="15"/>
      <c r="AF644" s="16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</row>
    <row r="645" spans="1:48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5"/>
      <c r="AB645" s="15"/>
      <c r="AC645" s="15"/>
      <c r="AD645" s="15"/>
      <c r="AE645" s="15"/>
      <c r="AF645" s="16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</row>
    <row r="646" spans="1:48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5"/>
      <c r="AB646" s="15"/>
      <c r="AC646" s="15"/>
      <c r="AD646" s="15"/>
      <c r="AE646" s="15"/>
      <c r="AF646" s="16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</row>
    <row r="647" spans="1:48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5"/>
      <c r="AB647" s="15"/>
      <c r="AC647" s="15"/>
      <c r="AD647" s="15"/>
      <c r="AE647" s="15"/>
      <c r="AF647" s="16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</row>
    <row r="648" spans="1: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5"/>
      <c r="AB648" s="15"/>
      <c r="AC648" s="15"/>
      <c r="AD648" s="15"/>
      <c r="AE648" s="15"/>
      <c r="AF648" s="16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</row>
    <row r="649" spans="1:48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5"/>
      <c r="AB649" s="15"/>
      <c r="AC649" s="15"/>
      <c r="AD649" s="15"/>
      <c r="AE649" s="15"/>
      <c r="AF649" s="16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</row>
    <row r="650" spans="1:48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5"/>
      <c r="AB650" s="15"/>
      <c r="AC650" s="15"/>
      <c r="AD650" s="15"/>
      <c r="AE650" s="15"/>
      <c r="AF650" s="16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</row>
    <row r="651" spans="1:48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5"/>
      <c r="AB651" s="15"/>
      <c r="AC651" s="15"/>
      <c r="AD651" s="15"/>
      <c r="AE651" s="15"/>
      <c r="AF651" s="16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</row>
    <row r="652" spans="1:48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5"/>
      <c r="AB652" s="15"/>
      <c r="AC652" s="15"/>
      <c r="AD652" s="15"/>
      <c r="AE652" s="15"/>
      <c r="AF652" s="16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</row>
    <row r="653" spans="1:48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5"/>
      <c r="AB653" s="15"/>
      <c r="AC653" s="15"/>
      <c r="AD653" s="15"/>
      <c r="AE653" s="15"/>
      <c r="AF653" s="16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</row>
    <row r="654" spans="1:48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5"/>
      <c r="AB654" s="15"/>
      <c r="AC654" s="15"/>
      <c r="AD654" s="15"/>
      <c r="AE654" s="15"/>
      <c r="AF654" s="16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</row>
    <row r="655" spans="1:48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5"/>
      <c r="AB655" s="15"/>
      <c r="AC655" s="15"/>
      <c r="AD655" s="15"/>
      <c r="AE655" s="15"/>
      <c r="AF655" s="16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</row>
    <row r="656" spans="1:48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5"/>
      <c r="AB656" s="15"/>
      <c r="AC656" s="15"/>
      <c r="AD656" s="15"/>
      <c r="AE656" s="15"/>
      <c r="AF656" s="16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</row>
    <row r="657" spans="1:48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5"/>
      <c r="AB657" s="15"/>
      <c r="AC657" s="15"/>
      <c r="AD657" s="15"/>
      <c r="AE657" s="15"/>
      <c r="AF657" s="16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</row>
    <row r="658" spans="1:4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5"/>
      <c r="AB658" s="15"/>
      <c r="AC658" s="15"/>
      <c r="AD658" s="15"/>
      <c r="AE658" s="15"/>
      <c r="AF658" s="16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</row>
    <row r="659" spans="1:48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5"/>
      <c r="AB659" s="15"/>
      <c r="AC659" s="15"/>
      <c r="AD659" s="15"/>
      <c r="AE659" s="15"/>
      <c r="AF659" s="16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</row>
    <row r="660" spans="1:48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5"/>
      <c r="AB660" s="15"/>
      <c r="AC660" s="15"/>
      <c r="AD660" s="15"/>
      <c r="AE660" s="15"/>
      <c r="AF660" s="16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</row>
    <row r="661" spans="1:48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5"/>
      <c r="AB661" s="15"/>
      <c r="AC661" s="15"/>
      <c r="AD661" s="15"/>
      <c r="AE661" s="15"/>
      <c r="AF661" s="16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</row>
    <row r="662" spans="1:48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5"/>
      <c r="AB662" s="15"/>
      <c r="AC662" s="15"/>
      <c r="AD662" s="15"/>
      <c r="AE662" s="15"/>
      <c r="AF662" s="16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</row>
    <row r="663" spans="1:48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5"/>
      <c r="AB663" s="15"/>
      <c r="AC663" s="15"/>
      <c r="AD663" s="15"/>
      <c r="AE663" s="15"/>
      <c r="AF663" s="16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</row>
    <row r="664" spans="1:48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5"/>
      <c r="AB664" s="15"/>
      <c r="AC664" s="15"/>
      <c r="AD664" s="15"/>
      <c r="AE664" s="15"/>
      <c r="AF664" s="16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</row>
    <row r="665" spans="1:48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5"/>
      <c r="AB665" s="15"/>
      <c r="AC665" s="15"/>
      <c r="AD665" s="15"/>
      <c r="AE665" s="15"/>
      <c r="AF665" s="16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</row>
    <row r="666" spans="1:48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5"/>
      <c r="AB666" s="15"/>
      <c r="AC666" s="15"/>
      <c r="AD666" s="15"/>
      <c r="AE666" s="15"/>
      <c r="AF666" s="16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</row>
    <row r="667" spans="1:48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5"/>
      <c r="AB667" s="15"/>
      <c r="AC667" s="15"/>
      <c r="AD667" s="15"/>
      <c r="AE667" s="15"/>
      <c r="AF667" s="16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</row>
    <row r="668" spans="1:4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5"/>
      <c r="AB668" s="15"/>
      <c r="AC668" s="15"/>
      <c r="AD668" s="15"/>
      <c r="AE668" s="15"/>
      <c r="AF668" s="16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</row>
    <row r="669" spans="1:48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5"/>
      <c r="AB669" s="15"/>
      <c r="AC669" s="15"/>
      <c r="AD669" s="15"/>
      <c r="AE669" s="15"/>
      <c r="AF669" s="16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</row>
    <row r="670" spans="1:48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5"/>
      <c r="AB670" s="15"/>
      <c r="AC670" s="15"/>
      <c r="AD670" s="15"/>
      <c r="AE670" s="15"/>
      <c r="AF670" s="16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</row>
    <row r="671" spans="1:48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5"/>
      <c r="AB671" s="15"/>
      <c r="AC671" s="15"/>
      <c r="AD671" s="15"/>
      <c r="AE671" s="15"/>
      <c r="AF671" s="16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</row>
    <row r="672" spans="1:48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5"/>
      <c r="AB672" s="15"/>
      <c r="AC672" s="15"/>
      <c r="AD672" s="15"/>
      <c r="AE672" s="15"/>
      <c r="AF672" s="16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</row>
    <row r="673" spans="1:48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5"/>
      <c r="AB673" s="15"/>
      <c r="AC673" s="15"/>
      <c r="AD673" s="15"/>
      <c r="AE673" s="15"/>
      <c r="AF673" s="16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</row>
    <row r="674" spans="1:48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5"/>
      <c r="AB674" s="15"/>
      <c r="AC674" s="15"/>
      <c r="AD674" s="15"/>
      <c r="AE674" s="15"/>
      <c r="AF674" s="16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</row>
    <row r="675" spans="1:48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5"/>
      <c r="AB675" s="15"/>
      <c r="AC675" s="15"/>
      <c r="AD675" s="15"/>
      <c r="AE675" s="15"/>
      <c r="AF675" s="16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</row>
    <row r="676" spans="1:48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5"/>
      <c r="AB676" s="15"/>
      <c r="AC676" s="15"/>
      <c r="AD676" s="15"/>
      <c r="AE676" s="15"/>
      <c r="AF676" s="16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</row>
    <row r="677" spans="1:48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5"/>
      <c r="AB677" s="15"/>
      <c r="AC677" s="15"/>
      <c r="AD677" s="15"/>
      <c r="AE677" s="15"/>
      <c r="AF677" s="16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</row>
    <row r="678" spans="1:4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5"/>
      <c r="AB678" s="15"/>
      <c r="AC678" s="15"/>
      <c r="AD678" s="15"/>
      <c r="AE678" s="15"/>
      <c r="AF678" s="16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</row>
    <row r="679" spans="1:48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5"/>
      <c r="AB679" s="15"/>
      <c r="AC679" s="15"/>
      <c r="AD679" s="15"/>
      <c r="AE679" s="15"/>
      <c r="AF679" s="16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</row>
    <row r="680" spans="1:48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5"/>
      <c r="AB680" s="15"/>
      <c r="AC680" s="15"/>
      <c r="AD680" s="15"/>
      <c r="AE680" s="15"/>
      <c r="AF680" s="16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</row>
    <row r="681" spans="1:48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5"/>
      <c r="AB681" s="15"/>
      <c r="AC681" s="15"/>
      <c r="AD681" s="15"/>
      <c r="AE681" s="15"/>
      <c r="AF681" s="16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</row>
    <row r="682" spans="1:48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5"/>
      <c r="AB682" s="15"/>
      <c r="AC682" s="15"/>
      <c r="AD682" s="15"/>
      <c r="AE682" s="15"/>
      <c r="AF682" s="16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</row>
    <row r="683" spans="1:48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5"/>
      <c r="AB683" s="15"/>
      <c r="AC683" s="15"/>
      <c r="AD683" s="15"/>
      <c r="AE683" s="15"/>
      <c r="AF683" s="16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</row>
    <row r="684" spans="1:48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5"/>
      <c r="AB684" s="15"/>
      <c r="AC684" s="15"/>
      <c r="AD684" s="15"/>
      <c r="AE684" s="15"/>
      <c r="AF684" s="16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</row>
    <row r="685" spans="1:48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5"/>
      <c r="AB685" s="15"/>
      <c r="AC685" s="15"/>
      <c r="AD685" s="15"/>
      <c r="AE685" s="15"/>
      <c r="AF685" s="16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</row>
    <row r="686" spans="1:48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5"/>
      <c r="AB686" s="15"/>
      <c r="AC686" s="15"/>
      <c r="AD686" s="15"/>
      <c r="AE686" s="15"/>
      <c r="AF686" s="16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</row>
    <row r="687" spans="1:48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5"/>
      <c r="AB687" s="15"/>
      <c r="AC687" s="15"/>
      <c r="AD687" s="15"/>
      <c r="AE687" s="15"/>
      <c r="AF687" s="16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</row>
    <row r="688" spans="1:4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5"/>
      <c r="AB688" s="15"/>
      <c r="AC688" s="15"/>
      <c r="AD688" s="15"/>
      <c r="AE688" s="15"/>
      <c r="AF688" s="16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</row>
    <row r="689" spans="1:48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5"/>
      <c r="AB689" s="15"/>
      <c r="AC689" s="15"/>
      <c r="AD689" s="15"/>
      <c r="AE689" s="15"/>
      <c r="AF689" s="16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</row>
    <row r="690" spans="1:48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5"/>
      <c r="AB690" s="15"/>
      <c r="AC690" s="15"/>
      <c r="AD690" s="15"/>
      <c r="AE690" s="15"/>
      <c r="AF690" s="16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</row>
    <row r="691" spans="1:48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5"/>
      <c r="AB691" s="15"/>
      <c r="AC691" s="15"/>
      <c r="AD691" s="15"/>
      <c r="AE691" s="15"/>
      <c r="AF691" s="16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</row>
    <row r="692" spans="1:48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5"/>
      <c r="AB692" s="15"/>
      <c r="AC692" s="15"/>
      <c r="AD692" s="15"/>
      <c r="AE692" s="15"/>
      <c r="AF692" s="16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</row>
    <row r="693" spans="1:48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5"/>
      <c r="AB693" s="15"/>
      <c r="AC693" s="15"/>
      <c r="AD693" s="15"/>
      <c r="AE693" s="15"/>
      <c r="AF693" s="16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</row>
    <row r="694" spans="1:48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5"/>
      <c r="AB694" s="15"/>
      <c r="AC694" s="15"/>
      <c r="AD694" s="15"/>
      <c r="AE694" s="15"/>
      <c r="AF694" s="16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</row>
    <row r="695" spans="1:48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5"/>
      <c r="AB695" s="15"/>
      <c r="AC695" s="15"/>
      <c r="AD695" s="15"/>
      <c r="AE695" s="15"/>
      <c r="AF695" s="16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</row>
    <row r="696" spans="1:48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5"/>
      <c r="AB696" s="15"/>
      <c r="AC696" s="15"/>
      <c r="AD696" s="15"/>
      <c r="AE696" s="15"/>
      <c r="AF696" s="16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</row>
    <row r="697" spans="1:48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5"/>
      <c r="AB697" s="15"/>
      <c r="AC697" s="15"/>
      <c r="AD697" s="15"/>
      <c r="AE697" s="15"/>
      <c r="AF697" s="16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</row>
    <row r="698" spans="1:4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5"/>
      <c r="AB698" s="15"/>
      <c r="AC698" s="15"/>
      <c r="AD698" s="15"/>
      <c r="AE698" s="15"/>
      <c r="AF698" s="16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</row>
    <row r="699" spans="1:48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5"/>
      <c r="AB699" s="15"/>
      <c r="AC699" s="15"/>
      <c r="AD699" s="15"/>
      <c r="AE699" s="15"/>
      <c r="AF699" s="16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</row>
    <row r="700" spans="1:48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5"/>
      <c r="AB700" s="15"/>
      <c r="AC700" s="15"/>
      <c r="AD700" s="15"/>
      <c r="AE700" s="15"/>
      <c r="AF700" s="16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</row>
    <row r="701" spans="1:48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5"/>
      <c r="AB701" s="15"/>
      <c r="AC701" s="15"/>
      <c r="AD701" s="15"/>
      <c r="AE701" s="15"/>
      <c r="AF701" s="16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</row>
    <row r="702" spans="1:48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5"/>
      <c r="AB702" s="15"/>
      <c r="AC702" s="15"/>
      <c r="AD702" s="15"/>
      <c r="AE702" s="15"/>
      <c r="AF702" s="16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</row>
    <row r="703" spans="1:48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5"/>
      <c r="AB703" s="15"/>
      <c r="AC703" s="15"/>
      <c r="AD703" s="15"/>
      <c r="AE703" s="15"/>
      <c r="AF703" s="16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</row>
    <row r="704" spans="1:48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5"/>
      <c r="AB704" s="15"/>
      <c r="AC704" s="15"/>
      <c r="AD704" s="15"/>
      <c r="AE704" s="15"/>
      <c r="AF704" s="16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</row>
    <row r="705" spans="1:48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5"/>
      <c r="AB705" s="15"/>
      <c r="AC705" s="15"/>
      <c r="AD705" s="15"/>
      <c r="AE705" s="15"/>
      <c r="AF705" s="16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</row>
    <row r="706" spans="1:48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5"/>
      <c r="AB706" s="15"/>
      <c r="AC706" s="15"/>
      <c r="AD706" s="15"/>
      <c r="AE706" s="15"/>
      <c r="AF706" s="16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</row>
    <row r="707" spans="1:48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5"/>
      <c r="AB707" s="15"/>
      <c r="AC707" s="15"/>
      <c r="AD707" s="15"/>
      <c r="AE707" s="15"/>
      <c r="AF707" s="16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</row>
    <row r="708" spans="1:4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5"/>
      <c r="AB708" s="15"/>
      <c r="AC708" s="15"/>
      <c r="AD708" s="15"/>
      <c r="AE708" s="15"/>
      <c r="AF708" s="16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</row>
    <row r="709" spans="1:48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5"/>
      <c r="AB709" s="15"/>
      <c r="AC709" s="15"/>
      <c r="AD709" s="15"/>
      <c r="AE709" s="15"/>
      <c r="AF709" s="16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</row>
    <row r="710" spans="1:48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5"/>
      <c r="AB710" s="15"/>
      <c r="AC710" s="15"/>
      <c r="AD710" s="15"/>
      <c r="AE710" s="15"/>
      <c r="AF710" s="16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</row>
    <row r="711" spans="1:48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5"/>
      <c r="AB711" s="15"/>
      <c r="AC711" s="15"/>
      <c r="AD711" s="15"/>
      <c r="AE711" s="15"/>
      <c r="AF711" s="16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</row>
    <row r="712" spans="1:48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5"/>
      <c r="AB712" s="15"/>
      <c r="AC712" s="15"/>
      <c r="AD712" s="15"/>
      <c r="AE712" s="15"/>
      <c r="AF712" s="16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</row>
    <row r="713" spans="1:48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5"/>
      <c r="AB713" s="15"/>
      <c r="AC713" s="15"/>
      <c r="AD713" s="15"/>
      <c r="AE713" s="15"/>
      <c r="AF713" s="16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</row>
    <row r="714" spans="1:48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5"/>
      <c r="AB714" s="15"/>
      <c r="AC714" s="15"/>
      <c r="AD714" s="15"/>
      <c r="AE714" s="15"/>
      <c r="AF714" s="16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</row>
    <row r="715" spans="1:48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5"/>
      <c r="AB715" s="15"/>
      <c r="AC715" s="15"/>
      <c r="AD715" s="15"/>
      <c r="AE715" s="15"/>
      <c r="AF715" s="16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</row>
    <row r="716" spans="1:48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5"/>
      <c r="AB716" s="15"/>
      <c r="AC716" s="15"/>
      <c r="AD716" s="15"/>
      <c r="AE716" s="15"/>
      <c r="AF716" s="16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</row>
    <row r="717" spans="1:48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5"/>
      <c r="AB717" s="15"/>
      <c r="AC717" s="15"/>
      <c r="AD717" s="15"/>
      <c r="AE717" s="15"/>
      <c r="AF717" s="16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</row>
    <row r="718" spans="1:4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5"/>
      <c r="AB718" s="15"/>
      <c r="AC718" s="15"/>
      <c r="AD718" s="15"/>
      <c r="AE718" s="15"/>
      <c r="AF718" s="16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</row>
    <row r="719" spans="1:48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5"/>
      <c r="AB719" s="15"/>
      <c r="AC719" s="15"/>
      <c r="AD719" s="15"/>
      <c r="AE719" s="15"/>
      <c r="AF719" s="16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</row>
    <row r="720" spans="1:48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5"/>
      <c r="AB720" s="15"/>
      <c r="AC720" s="15"/>
      <c r="AD720" s="15"/>
      <c r="AE720" s="15"/>
      <c r="AF720" s="16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</row>
    <row r="721" spans="1:48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5"/>
      <c r="AB721" s="15"/>
      <c r="AC721" s="15"/>
      <c r="AD721" s="15"/>
      <c r="AE721" s="15"/>
      <c r="AF721" s="16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</row>
    <row r="722" spans="1:48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5"/>
      <c r="AB722" s="15"/>
      <c r="AC722" s="15"/>
      <c r="AD722" s="15"/>
      <c r="AE722" s="15"/>
      <c r="AF722" s="16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</row>
    <row r="723" spans="1:48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5"/>
      <c r="AB723" s="15"/>
      <c r="AC723" s="15"/>
      <c r="AD723" s="15"/>
      <c r="AE723" s="15"/>
      <c r="AF723" s="16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</row>
    <row r="724" spans="1:48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5"/>
      <c r="AB724" s="15"/>
      <c r="AC724" s="15"/>
      <c r="AD724" s="15"/>
      <c r="AE724" s="15"/>
      <c r="AF724" s="16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</row>
    <row r="725" spans="1:48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5"/>
      <c r="AB725" s="15"/>
      <c r="AC725" s="15"/>
      <c r="AD725" s="15"/>
      <c r="AE725" s="15"/>
      <c r="AF725" s="16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</row>
    <row r="726" spans="1:48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5"/>
      <c r="AB726" s="15"/>
      <c r="AC726" s="15"/>
      <c r="AD726" s="15"/>
      <c r="AE726" s="15"/>
      <c r="AF726" s="16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</row>
    <row r="727" spans="1:48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5"/>
      <c r="AB727" s="15"/>
      <c r="AC727" s="15"/>
      <c r="AD727" s="15"/>
      <c r="AE727" s="15"/>
      <c r="AF727" s="16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</row>
    <row r="728" spans="1:4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5"/>
      <c r="AB728" s="15"/>
      <c r="AC728" s="15"/>
      <c r="AD728" s="15"/>
      <c r="AE728" s="15"/>
      <c r="AF728" s="16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</row>
    <row r="729" spans="1:48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5"/>
      <c r="AB729" s="15"/>
      <c r="AC729" s="15"/>
      <c r="AD729" s="15"/>
      <c r="AE729" s="15"/>
      <c r="AF729" s="16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</row>
    <row r="730" spans="1:48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5"/>
      <c r="AB730" s="15"/>
      <c r="AC730" s="15"/>
      <c r="AD730" s="15"/>
      <c r="AE730" s="15"/>
      <c r="AF730" s="16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</row>
    <row r="731" spans="1:48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5"/>
      <c r="AB731" s="15"/>
      <c r="AC731" s="15"/>
      <c r="AD731" s="15"/>
      <c r="AE731" s="15"/>
      <c r="AF731" s="16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</row>
    <row r="732" spans="1:48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5"/>
      <c r="AB732" s="15"/>
      <c r="AC732" s="15"/>
      <c r="AD732" s="15"/>
      <c r="AE732" s="15"/>
      <c r="AF732" s="16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</row>
    <row r="733" spans="1:48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5"/>
      <c r="AB733" s="15"/>
      <c r="AC733" s="15"/>
      <c r="AD733" s="15"/>
      <c r="AE733" s="15"/>
      <c r="AF733" s="16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</row>
    <row r="734" spans="1:48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5"/>
      <c r="AB734" s="15"/>
      <c r="AC734" s="15"/>
      <c r="AD734" s="15"/>
      <c r="AE734" s="15"/>
      <c r="AF734" s="16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</row>
    <row r="735" spans="1:48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5"/>
      <c r="AB735" s="15"/>
      <c r="AC735" s="15"/>
      <c r="AD735" s="15"/>
      <c r="AE735" s="15"/>
      <c r="AF735" s="16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</row>
    <row r="736" spans="1:48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5"/>
      <c r="AB736" s="15"/>
      <c r="AC736" s="15"/>
      <c r="AD736" s="15"/>
      <c r="AE736" s="15"/>
      <c r="AF736" s="16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</row>
    <row r="737" spans="1:48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5"/>
      <c r="AB737" s="15"/>
      <c r="AC737" s="15"/>
      <c r="AD737" s="15"/>
      <c r="AE737" s="15"/>
      <c r="AF737" s="16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</row>
    <row r="738" spans="1:4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5"/>
      <c r="AB738" s="15"/>
      <c r="AC738" s="15"/>
      <c r="AD738" s="15"/>
      <c r="AE738" s="15"/>
      <c r="AF738" s="16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</row>
    <row r="739" spans="1:48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5"/>
      <c r="AB739" s="15"/>
      <c r="AC739" s="15"/>
      <c r="AD739" s="15"/>
      <c r="AE739" s="15"/>
      <c r="AF739" s="16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</row>
    <row r="740" spans="1:48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5"/>
      <c r="AB740" s="15"/>
      <c r="AC740" s="15"/>
      <c r="AD740" s="15"/>
      <c r="AE740" s="15"/>
      <c r="AF740" s="16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</row>
    <row r="741" spans="1:48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5"/>
      <c r="AB741" s="15"/>
      <c r="AC741" s="15"/>
      <c r="AD741" s="15"/>
      <c r="AE741" s="15"/>
      <c r="AF741" s="16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</row>
    <row r="742" spans="1:48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5"/>
      <c r="AB742" s="15"/>
      <c r="AC742" s="15"/>
      <c r="AD742" s="15"/>
      <c r="AE742" s="15"/>
      <c r="AF742" s="16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</row>
    <row r="743" spans="1:48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5"/>
      <c r="AB743" s="15"/>
      <c r="AC743" s="15"/>
      <c r="AD743" s="15"/>
      <c r="AE743" s="15"/>
      <c r="AF743" s="16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</row>
    <row r="744" spans="1:48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5"/>
      <c r="AB744" s="15"/>
      <c r="AC744" s="15"/>
      <c r="AD744" s="15"/>
      <c r="AE744" s="15"/>
      <c r="AF744" s="16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</row>
    <row r="745" spans="1:48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5"/>
      <c r="AB745" s="15"/>
      <c r="AC745" s="15"/>
      <c r="AD745" s="15"/>
      <c r="AE745" s="15"/>
      <c r="AF745" s="16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</row>
    <row r="746" spans="1:48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5"/>
      <c r="AB746" s="15"/>
      <c r="AC746" s="15"/>
      <c r="AD746" s="15"/>
      <c r="AE746" s="15"/>
      <c r="AF746" s="16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</row>
    <row r="747" spans="1:48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5"/>
      <c r="AB747" s="15"/>
      <c r="AC747" s="15"/>
      <c r="AD747" s="15"/>
      <c r="AE747" s="15"/>
      <c r="AF747" s="16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</row>
    <row r="748" spans="1: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5"/>
      <c r="AB748" s="15"/>
      <c r="AC748" s="15"/>
      <c r="AD748" s="15"/>
      <c r="AE748" s="15"/>
      <c r="AF748" s="16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</row>
    <row r="749" spans="1:48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5"/>
      <c r="AB749" s="15"/>
      <c r="AC749" s="15"/>
      <c r="AD749" s="15"/>
      <c r="AE749" s="15"/>
      <c r="AF749" s="16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</row>
    <row r="750" spans="1:48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5"/>
      <c r="AB750" s="15"/>
      <c r="AC750" s="15"/>
      <c r="AD750" s="15"/>
      <c r="AE750" s="15"/>
      <c r="AF750" s="16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</row>
    <row r="751" spans="1:48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5"/>
      <c r="AB751" s="15"/>
      <c r="AC751" s="15"/>
      <c r="AD751" s="15"/>
      <c r="AE751" s="15"/>
      <c r="AF751" s="16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</row>
    <row r="752" spans="1:48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5"/>
      <c r="AB752" s="15"/>
      <c r="AC752" s="15"/>
      <c r="AD752" s="15"/>
      <c r="AE752" s="15"/>
      <c r="AF752" s="16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</row>
    <row r="753" spans="1:48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5"/>
      <c r="AB753" s="15"/>
      <c r="AC753" s="15"/>
      <c r="AD753" s="15"/>
      <c r="AE753" s="15"/>
      <c r="AF753" s="16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</row>
    <row r="754" spans="1:48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5"/>
      <c r="AB754" s="15"/>
      <c r="AC754" s="15"/>
      <c r="AD754" s="15"/>
      <c r="AE754" s="15"/>
      <c r="AF754" s="16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</row>
    <row r="755" spans="1:48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5"/>
      <c r="AB755" s="15"/>
      <c r="AC755" s="15"/>
      <c r="AD755" s="15"/>
      <c r="AE755" s="15"/>
      <c r="AF755" s="16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</row>
    <row r="756" spans="1:48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5"/>
      <c r="AB756" s="15"/>
      <c r="AC756" s="15"/>
      <c r="AD756" s="15"/>
      <c r="AE756" s="15"/>
      <c r="AF756" s="16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</row>
    <row r="757" spans="1:48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5"/>
      <c r="AB757" s="15"/>
      <c r="AC757" s="15"/>
      <c r="AD757" s="15"/>
      <c r="AE757" s="15"/>
      <c r="AF757" s="16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</row>
    <row r="758" spans="1:4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5"/>
      <c r="AB758" s="15"/>
      <c r="AC758" s="15"/>
      <c r="AD758" s="15"/>
      <c r="AE758" s="15"/>
      <c r="AF758" s="16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</row>
    <row r="759" spans="1:48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5"/>
      <c r="AB759" s="15"/>
      <c r="AC759" s="15"/>
      <c r="AD759" s="15"/>
      <c r="AE759" s="15"/>
      <c r="AF759" s="16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</row>
    <row r="760" spans="1:48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5"/>
      <c r="AB760" s="15"/>
      <c r="AC760" s="15"/>
      <c r="AD760" s="15"/>
      <c r="AE760" s="15"/>
      <c r="AF760" s="16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</row>
    <row r="761" spans="1:48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5"/>
      <c r="AB761" s="15"/>
      <c r="AC761" s="15"/>
      <c r="AD761" s="15"/>
      <c r="AE761" s="15"/>
      <c r="AF761" s="16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</row>
    <row r="762" spans="1:48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5"/>
      <c r="AB762" s="15"/>
      <c r="AC762" s="15"/>
      <c r="AD762" s="15"/>
      <c r="AE762" s="15"/>
      <c r="AF762" s="16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</row>
    <row r="763" spans="1:48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5"/>
      <c r="AB763" s="15"/>
      <c r="AC763" s="15"/>
      <c r="AD763" s="15"/>
      <c r="AE763" s="15"/>
      <c r="AF763" s="16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</row>
    <row r="764" spans="1:48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5"/>
      <c r="AB764" s="15"/>
      <c r="AC764" s="15"/>
      <c r="AD764" s="15"/>
      <c r="AE764" s="15"/>
      <c r="AF764" s="16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</row>
    <row r="765" spans="1:48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5"/>
      <c r="AB765" s="15"/>
      <c r="AC765" s="15"/>
      <c r="AD765" s="15"/>
      <c r="AE765" s="15"/>
      <c r="AF765" s="16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</row>
    <row r="766" spans="1:48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5"/>
      <c r="AB766" s="15"/>
      <c r="AC766" s="15"/>
      <c r="AD766" s="15"/>
      <c r="AE766" s="15"/>
      <c r="AF766" s="16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</row>
    <row r="767" spans="1:48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5"/>
      <c r="AB767" s="15"/>
      <c r="AC767" s="15"/>
      <c r="AD767" s="15"/>
      <c r="AE767" s="15"/>
      <c r="AF767" s="16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</row>
    <row r="768" spans="1:4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5"/>
      <c r="AB768" s="15"/>
      <c r="AC768" s="15"/>
      <c r="AD768" s="15"/>
      <c r="AE768" s="15"/>
      <c r="AF768" s="16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</row>
    <row r="769" spans="1:48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5"/>
      <c r="AB769" s="15"/>
      <c r="AC769" s="15"/>
      <c r="AD769" s="15"/>
      <c r="AE769" s="15"/>
      <c r="AF769" s="16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</row>
    <row r="770" spans="1:48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5"/>
      <c r="AB770" s="15"/>
      <c r="AC770" s="15"/>
      <c r="AD770" s="15"/>
      <c r="AE770" s="15"/>
      <c r="AF770" s="16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</row>
    <row r="771" spans="1:48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5"/>
      <c r="AB771" s="15"/>
      <c r="AC771" s="15"/>
      <c r="AD771" s="15"/>
      <c r="AE771" s="15"/>
      <c r="AF771" s="16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</row>
    <row r="772" spans="1:48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5"/>
      <c r="AB772" s="15"/>
      <c r="AC772" s="15"/>
      <c r="AD772" s="15"/>
      <c r="AE772" s="15"/>
      <c r="AF772" s="16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</row>
    <row r="773" spans="1:48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5"/>
      <c r="AB773" s="15"/>
      <c r="AC773" s="15"/>
      <c r="AD773" s="15"/>
      <c r="AE773" s="15"/>
      <c r="AF773" s="16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</row>
    <row r="774" spans="1:48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5"/>
      <c r="AB774" s="15"/>
      <c r="AC774" s="15"/>
      <c r="AD774" s="15"/>
      <c r="AE774" s="15"/>
      <c r="AF774" s="16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</row>
    <row r="775" spans="1:48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5"/>
      <c r="AB775" s="15"/>
      <c r="AC775" s="15"/>
      <c r="AD775" s="15"/>
      <c r="AE775" s="15"/>
      <c r="AF775" s="16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</row>
    <row r="776" spans="1:48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5"/>
      <c r="AB776" s="15"/>
      <c r="AC776" s="15"/>
      <c r="AD776" s="15"/>
      <c r="AE776" s="15"/>
      <c r="AF776" s="16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</row>
    <row r="777" spans="1:48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5"/>
      <c r="AB777" s="15"/>
      <c r="AC777" s="15"/>
      <c r="AD777" s="15"/>
      <c r="AE777" s="15"/>
      <c r="AF777" s="16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</row>
    <row r="778" spans="1:4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5"/>
      <c r="AB778" s="15"/>
      <c r="AC778" s="15"/>
      <c r="AD778" s="15"/>
      <c r="AE778" s="15"/>
      <c r="AF778" s="16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</row>
    <row r="779" spans="1:48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5"/>
      <c r="AB779" s="15"/>
      <c r="AC779" s="15"/>
      <c r="AD779" s="15"/>
      <c r="AE779" s="15"/>
      <c r="AF779" s="16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</row>
    <row r="780" spans="1:48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5"/>
      <c r="AB780" s="15"/>
      <c r="AC780" s="15"/>
      <c r="AD780" s="15"/>
      <c r="AE780" s="15"/>
      <c r="AF780" s="16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</row>
    <row r="781" spans="1:48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5"/>
      <c r="AB781" s="15"/>
      <c r="AC781" s="15"/>
      <c r="AD781" s="15"/>
      <c r="AE781" s="15"/>
      <c r="AF781" s="16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</row>
    <row r="782" spans="1:48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5"/>
      <c r="AB782" s="15"/>
      <c r="AC782" s="15"/>
      <c r="AD782" s="15"/>
      <c r="AE782" s="15"/>
      <c r="AF782" s="16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</row>
    <row r="783" spans="1:48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5"/>
      <c r="AB783" s="15"/>
      <c r="AC783" s="15"/>
      <c r="AD783" s="15"/>
      <c r="AE783" s="15"/>
      <c r="AF783" s="16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</row>
    <row r="784" spans="1:48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5"/>
      <c r="AB784" s="15"/>
      <c r="AC784" s="15"/>
      <c r="AD784" s="15"/>
      <c r="AE784" s="15"/>
      <c r="AF784" s="16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</row>
    <row r="785" spans="1:48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5"/>
      <c r="AB785" s="15"/>
      <c r="AC785" s="15"/>
      <c r="AD785" s="15"/>
      <c r="AE785" s="15"/>
      <c r="AF785" s="16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</row>
    <row r="786" spans="1:48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5"/>
      <c r="AB786" s="15"/>
      <c r="AC786" s="15"/>
      <c r="AD786" s="15"/>
      <c r="AE786" s="15"/>
      <c r="AF786" s="16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</row>
    <row r="787" spans="1:48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5"/>
      <c r="AB787" s="15"/>
      <c r="AC787" s="15"/>
      <c r="AD787" s="15"/>
      <c r="AE787" s="15"/>
      <c r="AF787" s="16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</row>
    <row r="788" spans="1:4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5"/>
      <c r="AB788" s="15"/>
      <c r="AC788" s="15"/>
      <c r="AD788" s="15"/>
      <c r="AE788" s="15"/>
      <c r="AF788" s="16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</row>
    <row r="789" spans="1:48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5"/>
      <c r="AB789" s="15"/>
      <c r="AC789" s="15"/>
      <c r="AD789" s="15"/>
      <c r="AE789" s="15"/>
      <c r="AF789" s="16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</row>
    <row r="790" spans="1:48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5"/>
      <c r="AB790" s="15"/>
      <c r="AC790" s="15"/>
      <c r="AD790" s="15"/>
      <c r="AE790" s="15"/>
      <c r="AF790" s="16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</row>
    <row r="791" spans="1:48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5"/>
      <c r="AB791" s="15"/>
      <c r="AC791" s="15"/>
      <c r="AD791" s="15"/>
      <c r="AE791" s="15"/>
      <c r="AF791" s="16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</row>
    <row r="792" spans="1:48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5"/>
      <c r="AB792" s="15"/>
      <c r="AC792" s="15"/>
      <c r="AD792" s="15"/>
      <c r="AE792" s="15"/>
      <c r="AF792" s="16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</row>
    <row r="793" spans="1:48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5"/>
      <c r="AB793" s="15"/>
      <c r="AC793" s="15"/>
      <c r="AD793" s="15"/>
      <c r="AE793" s="15"/>
      <c r="AF793" s="16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</row>
    <row r="794" spans="1:48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5"/>
      <c r="AB794" s="15"/>
      <c r="AC794" s="15"/>
      <c r="AD794" s="15"/>
      <c r="AE794" s="15"/>
      <c r="AF794" s="16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</row>
    <row r="795" spans="1:48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5"/>
      <c r="AB795" s="15"/>
      <c r="AC795" s="15"/>
      <c r="AD795" s="15"/>
      <c r="AE795" s="15"/>
      <c r="AF795" s="16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</row>
    <row r="796" spans="1:48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5"/>
      <c r="AB796" s="15"/>
      <c r="AC796" s="15"/>
      <c r="AD796" s="15"/>
      <c r="AE796" s="15"/>
      <c r="AF796" s="16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</row>
    <row r="797" spans="1:48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5"/>
      <c r="AB797" s="15"/>
      <c r="AC797" s="15"/>
      <c r="AD797" s="15"/>
      <c r="AE797" s="15"/>
      <c r="AF797" s="16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</row>
    <row r="798" spans="1:4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5"/>
      <c r="AB798" s="15"/>
      <c r="AC798" s="15"/>
      <c r="AD798" s="15"/>
      <c r="AE798" s="15"/>
      <c r="AF798" s="16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</row>
    <row r="799" spans="1:48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5"/>
      <c r="AB799" s="15"/>
      <c r="AC799" s="15"/>
      <c r="AD799" s="15"/>
      <c r="AE799" s="15"/>
      <c r="AF799" s="16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</row>
    <row r="800" spans="1:48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5"/>
      <c r="AB800" s="15"/>
      <c r="AC800" s="15"/>
      <c r="AD800" s="15"/>
      <c r="AE800" s="15"/>
      <c r="AF800" s="16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</row>
    <row r="801" spans="1:48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5"/>
      <c r="AB801" s="15"/>
      <c r="AC801" s="15"/>
      <c r="AD801" s="15"/>
      <c r="AE801" s="15"/>
      <c r="AF801" s="16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</row>
    <row r="802" spans="1:48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5"/>
      <c r="AB802" s="15"/>
      <c r="AC802" s="15"/>
      <c r="AD802" s="15"/>
      <c r="AE802" s="15"/>
      <c r="AF802" s="16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</row>
    <row r="803" spans="1:48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5"/>
      <c r="AB803" s="15"/>
      <c r="AC803" s="15"/>
      <c r="AD803" s="15"/>
      <c r="AE803" s="15"/>
      <c r="AF803" s="16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</row>
    <row r="804" spans="1:48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5"/>
      <c r="AB804" s="15"/>
      <c r="AC804" s="15"/>
      <c r="AD804" s="15"/>
      <c r="AE804" s="15"/>
      <c r="AF804" s="16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</row>
    <row r="805" spans="1:48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5"/>
      <c r="AB805" s="15"/>
      <c r="AC805" s="15"/>
      <c r="AD805" s="15"/>
      <c r="AE805" s="15"/>
      <c r="AF805" s="16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</row>
    <row r="806" spans="1:48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5"/>
      <c r="AB806" s="15"/>
      <c r="AC806" s="15"/>
      <c r="AD806" s="15"/>
      <c r="AE806" s="15"/>
      <c r="AF806" s="16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</row>
    <row r="807" spans="1:48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5"/>
      <c r="AB807" s="15"/>
      <c r="AC807" s="15"/>
      <c r="AD807" s="15"/>
      <c r="AE807" s="15"/>
      <c r="AF807" s="16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</row>
    <row r="808" spans="1:4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5"/>
      <c r="AB808" s="15"/>
      <c r="AC808" s="15"/>
      <c r="AD808" s="15"/>
      <c r="AE808" s="15"/>
      <c r="AF808" s="16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</row>
    <row r="809" spans="1:48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5"/>
      <c r="AB809" s="15"/>
      <c r="AC809" s="15"/>
      <c r="AD809" s="15"/>
      <c r="AE809" s="15"/>
      <c r="AF809" s="16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</row>
    <row r="810" spans="1:48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5"/>
      <c r="AB810" s="15"/>
      <c r="AC810" s="15"/>
      <c r="AD810" s="15"/>
      <c r="AE810" s="15"/>
      <c r="AF810" s="16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</row>
    <row r="811" spans="1:48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5"/>
      <c r="AB811" s="15"/>
      <c r="AC811" s="15"/>
      <c r="AD811" s="15"/>
      <c r="AE811" s="15"/>
      <c r="AF811" s="16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</row>
    <row r="812" spans="1:48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5"/>
      <c r="AB812" s="15"/>
      <c r="AC812" s="15"/>
      <c r="AD812" s="15"/>
      <c r="AE812" s="15"/>
      <c r="AF812" s="16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</row>
    <row r="813" spans="1:48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5"/>
      <c r="AB813" s="15"/>
      <c r="AC813" s="15"/>
      <c r="AD813" s="15"/>
      <c r="AE813" s="15"/>
      <c r="AF813" s="16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</row>
    <row r="814" spans="1:48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5"/>
      <c r="AB814" s="15"/>
      <c r="AC814" s="15"/>
      <c r="AD814" s="15"/>
      <c r="AE814" s="15"/>
      <c r="AF814" s="16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</row>
    <row r="815" spans="1:48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5"/>
      <c r="AB815" s="15"/>
      <c r="AC815" s="15"/>
      <c r="AD815" s="15"/>
      <c r="AE815" s="15"/>
      <c r="AF815" s="16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</row>
    <row r="816" spans="1:48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5"/>
      <c r="AB816" s="15"/>
      <c r="AC816" s="15"/>
      <c r="AD816" s="15"/>
      <c r="AE816" s="15"/>
      <c r="AF816" s="16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</row>
    <row r="817" spans="1:48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5"/>
      <c r="AB817" s="15"/>
      <c r="AC817" s="15"/>
      <c r="AD817" s="15"/>
      <c r="AE817" s="15"/>
      <c r="AF817" s="16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</row>
    <row r="818" spans="1:4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5"/>
      <c r="AB818" s="15"/>
      <c r="AC818" s="15"/>
      <c r="AD818" s="15"/>
      <c r="AE818" s="15"/>
      <c r="AF818" s="16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</row>
    <row r="819" spans="1:48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5"/>
      <c r="AB819" s="15"/>
      <c r="AC819" s="15"/>
      <c r="AD819" s="15"/>
      <c r="AE819" s="15"/>
      <c r="AF819" s="16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</row>
    <row r="820" spans="1:48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5"/>
      <c r="AB820" s="15"/>
      <c r="AC820" s="15"/>
      <c r="AD820" s="15"/>
      <c r="AE820" s="15"/>
      <c r="AF820" s="16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</row>
    <row r="821" spans="1:48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5"/>
      <c r="AB821" s="15"/>
      <c r="AC821" s="15"/>
      <c r="AD821" s="15"/>
      <c r="AE821" s="15"/>
      <c r="AF821" s="16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</row>
    <row r="822" spans="1:48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5"/>
      <c r="AB822" s="15"/>
      <c r="AC822" s="15"/>
      <c r="AD822" s="15"/>
      <c r="AE822" s="15"/>
      <c r="AF822" s="16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</row>
    <row r="823" spans="1:48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5"/>
      <c r="AB823" s="15"/>
      <c r="AC823" s="15"/>
      <c r="AD823" s="15"/>
      <c r="AE823" s="15"/>
      <c r="AF823" s="16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</row>
    <row r="824" spans="1:48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5"/>
      <c r="AB824" s="15"/>
      <c r="AC824" s="15"/>
      <c r="AD824" s="15"/>
      <c r="AE824" s="15"/>
      <c r="AF824" s="16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</row>
    <row r="825" spans="1:48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5"/>
      <c r="AB825" s="15"/>
      <c r="AC825" s="15"/>
      <c r="AD825" s="15"/>
      <c r="AE825" s="15"/>
      <c r="AF825" s="16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</row>
    <row r="826" spans="1:48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5"/>
      <c r="AB826" s="15"/>
      <c r="AC826" s="15"/>
      <c r="AD826" s="15"/>
      <c r="AE826" s="15"/>
      <c r="AF826" s="16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</row>
    <row r="827" spans="1:48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5"/>
      <c r="AB827" s="15"/>
      <c r="AC827" s="15"/>
      <c r="AD827" s="15"/>
      <c r="AE827" s="15"/>
      <c r="AF827" s="16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</row>
    <row r="828" spans="1:4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5"/>
      <c r="AB828" s="15"/>
      <c r="AC828" s="15"/>
      <c r="AD828" s="15"/>
      <c r="AE828" s="15"/>
      <c r="AF828" s="16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</row>
    <row r="829" spans="1:48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5"/>
      <c r="AB829" s="15"/>
      <c r="AC829" s="15"/>
      <c r="AD829" s="15"/>
      <c r="AE829" s="15"/>
      <c r="AF829" s="16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</row>
    <row r="830" spans="1:48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5"/>
      <c r="AB830" s="15"/>
      <c r="AC830" s="15"/>
      <c r="AD830" s="15"/>
      <c r="AE830" s="15"/>
      <c r="AF830" s="16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</row>
    <row r="831" spans="1:48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5"/>
      <c r="AB831" s="15"/>
      <c r="AC831" s="15"/>
      <c r="AD831" s="15"/>
      <c r="AE831" s="15"/>
      <c r="AF831" s="16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</row>
    <row r="832" spans="1:48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5"/>
      <c r="AB832" s="15"/>
      <c r="AC832" s="15"/>
      <c r="AD832" s="15"/>
      <c r="AE832" s="15"/>
      <c r="AF832" s="16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</row>
    <row r="833" spans="1:48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5"/>
      <c r="AB833" s="15"/>
      <c r="AC833" s="15"/>
      <c r="AD833" s="15"/>
      <c r="AE833" s="15"/>
      <c r="AF833" s="16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</row>
    <row r="834" spans="1:48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5"/>
      <c r="AB834" s="15"/>
      <c r="AC834" s="15"/>
      <c r="AD834" s="15"/>
      <c r="AE834" s="15"/>
      <c r="AF834" s="16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</row>
    <row r="835" spans="1:48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5"/>
      <c r="AB835" s="15"/>
      <c r="AC835" s="15"/>
      <c r="AD835" s="15"/>
      <c r="AE835" s="15"/>
      <c r="AF835" s="16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</row>
    <row r="836" spans="1:48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5"/>
      <c r="AB836" s="15"/>
      <c r="AC836" s="15"/>
      <c r="AD836" s="15"/>
      <c r="AE836" s="15"/>
      <c r="AF836" s="16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</row>
    <row r="837" spans="1:48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5"/>
      <c r="AB837" s="15"/>
      <c r="AC837" s="15"/>
      <c r="AD837" s="15"/>
      <c r="AE837" s="15"/>
      <c r="AF837" s="16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</row>
    <row r="838" spans="1:4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5"/>
      <c r="AB838" s="15"/>
      <c r="AC838" s="15"/>
      <c r="AD838" s="15"/>
      <c r="AE838" s="15"/>
      <c r="AF838" s="16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</row>
    <row r="839" spans="1:48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5"/>
      <c r="AB839" s="15"/>
      <c r="AC839" s="15"/>
      <c r="AD839" s="15"/>
      <c r="AE839" s="15"/>
      <c r="AF839" s="16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</row>
    <row r="840" spans="1:48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5"/>
      <c r="AB840" s="15"/>
      <c r="AC840" s="15"/>
      <c r="AD840" s="15"/>
      <c r="AE840" s="15"/>
      <c r="AF840" s="16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</row>
    <row r="841" spans="1:48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5"/>
      <c r="AB841" s="15"/>
      <c r="AC841" s="15"/>
      <c r="AD841" s="15"/>
      <c r="AE841" s="15"/>
      <c r="AF841" s="16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</row>
    <row r="842" spans="1:48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5"/>
      <c r="AB842" s="15"/>
      <c r="AC842" s="15"/>
      <c r="AD842" s="15"/>
      <c r="AE842" s="15"/>
      <c r="AF842" s="16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</row>
    <row r="843" spans="1:48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5"/>
      <c r="AB843" s="15"/>
      <c r="AC843" s="15"/>
      <c r="AD843" s="15"/>
      <c r="AE843" s="15"/>
      <c r="AF843" s="16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</row>
    <row r="844" spans="1:48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5"/>
      <c r="AB844" s="15"/>
      <c r="AC844" s="15"/>
      <c r="AD844" s="15"/>
      <c r="AE844" s="15"/>
      <c r="AF844" s="16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</row>
    <row r="845" spans="1:48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5"/>
      <c r="AB845" s="15"/>
      <c r="AC845" s="15"/>
      <c r="AD845" s="15"/>
      <c r="AE845" s="15"/>
      <c r="AF845" s="16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</row>
    <row r="846" spans="1:48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5"/>
      <c r="AB846" s="15"/>
      <c r="AC846" s="15"/>
      <c r="AD846" s="15"/>
      <c r="AE846" s="15"/>
      <c r="AF846" s="16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</row>
    <row r="847" spans="1:48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5"/>
      <c r="AB847" s="15"/>
      <c r="AC847" s="15"/>
      <c r="AD847" s="15"/>
      <c r="AE847" s="15"/>
      <c r="AF847" s="16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</row>
    <row r="848" spans="1: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5"/>
      <c r="AB848" s="15"/>
      <c r="AC848" s="15"/>
      <c r="AD848" s="15"/>
      <c r="AE848" s="15"/>
      <c r="AF848" s="16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</row>
    <row r="849" spans="1:48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5"/>
      <c r="AB849" s="15"/>
      <c r="AC849" s="15"/>
      <c r="AD849" s="15"/>
      <c r="AE849" s="15"/>
      <c r="AF849" s="16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</row>
    <row r="850" spans="1:48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5"/>
      <c r="AB850" s="15"/>
      <c r="AC850" s="15"/>
      <c r="AD850" s="15"/>
      <c r="AE850" s="15"/>
      <c r="AF850" s="16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</row>
    <row r="851" spans="1:48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5"/>
      <c r="AB851" s="15"/>
      <c r="AC851" s="15"/>
      <c r="AD851" s="15"/>
      <c r="AE851" s="15"/>
      <c r="AF851" s="16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</row>
    <row r="852" spans="1:48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5"/>
      <c r="AB852" s="15"/>
      <c r="AC852" s="15"/>
      <c r="AD852" s="15"/>
      <c r="AE852" s="15"/>
      <c r="AF852" s="16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</row>
    <row r="853" spans="1:48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5"/>
      <c r="AB853" s="15"/>
      <c r="AC853" s="15"/>
      <c r="AD853" s="15"/>
      <c r="AE853" s="15"/>
      <c r="AF853" s="16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</row>
    <row r="854" spans="1:48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5"/>
      <c r="AB854" s="15"/>
      <c r="AC854" s="15"/>
      <c r="AD854" s="15"/>
      <c r="AE854" s="15"/>
      <c r="AF854" s="16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</row>
    <row r="855" spans="1:48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5"/>
      <c r="AB855" s="15"/>
      <c r="AC855" s="15"/>
      <c r="AD855" s="15"/>
      <c r="AE855" s="15"/>
      <c r="AF855" s="16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</row>
    <row r="856" spans="1:48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5"/>
      <c r="AB856" s="15"/>
      <c r="AC856" s="15"/>
      <c r="AD856" s="15"/>
      <c r="AE856" s="15"/>
      <c r="AF856" s="16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</row>
    <row r="857" spans="1:48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5"/>
      <c r="AB857" s="15"/>
      <c r="AC857" s="15"/>
      <c r="AD857" s="15"/>
      <c r="AE857" s="15"/>
      <c r="AF857" s="16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</row>
    <row r="858" spans="1:4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5"/>
      <c r="AB858" s="15"/>
      <c r="AC858" s="15"/>
      <c r="AD858" s="15"/>
      <c r="AE858" s="15"/>
      <c r="AF858" s="16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</row>
    <row r="859" spans="1:48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5"/>
      <c r="AB859" s="15"/>
      <c r="AC859" s="15"/>
      <c r="AD859" s="15"/>
      <c r="AE859" s="15"/>
      <c r="AF859" s="16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</row>
    <row r="860" spans="1:48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5"/>
      <c r="AB860" s="15"/>
      <c r="AC860" s="15"/>
      <c r="AD860" s="15"/>
      <c r="AE860" s="15"/>
      <c r="AF860" s="16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</row>
    <row r="861" spans="1:48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5"/>
      <c r="AB861" s="15"/>
      <c r="AC861" s="15"/>
      <c r="AD861" s="15"/>
      <c r="AE861" s="15"/>
      <c r="AF861" s="16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</row>
    <row r="862" spans="1:48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5"/>
      <c r="AB862" s="15"/>
      <c r="AC862" s="15"/>
      <c r="AD862" s="15"/>
      <c r="AE862" s="15"/>
      <c r="AF862" s="16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</row>
    <row r="863" spans="1:48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5"/>
      <c r="AB863" s="15"/>
      <c r="AC863" s="15"/>
      <c r="AD863" s="15"/>
      <c r="AE863" s="15"/>
      <c r="AF863" s="16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</row>
    <row r="864" spans="1:48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5"/>
      <c r="AB864" s="15"/>
      <c r="AC864" s="15"/>
      <c r="AD864" s="15"/>
      <c r="AE864" s="15"/>
      <c r="AF864" s="16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</row>
    <row r="865" spans="1:48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5"/>
      <c r="AB865" s="15"/>
      <c r="AC865" s="15"/>
      <c r="AD865" s="15"/>
      <c r="AE865" s="15"/>
      <c r="AF865" s="16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</row>
    <row r="866" spans="1:48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5"/>
      <c r="AB866" s="15"/>
      <c r="AC866" s="15"/>
      <c r="AD866" s="15"/>
      <c r="AE866" s="15"/>
      <c r="AF866" s="16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</row>
    <row r="867" spans="1:48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5"/>
      <c r="AB867" s="15"/>
      <c r="AC867" s="15"/>
      <c r="AD867" s="15"/>
      <c r="AE867" s="15"/>
      <c r="AF867" s="16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</row>
    <row r="868" spans="1:4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5"/>
      <c r="AB868" s="15"/>
      <c r="AC868" s="15"/>
      <c r="AD868" s="15"/>
      <c r="AE868" s="15"/>
      <c r="AF868" s="16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</row>
    <row r="869" spans="1:48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5"/>
      <c r="AB869" s="15"/>
      <c r="AC869" s="15"/>
      <c r="AD869" s="15"/>
      <c r="AE869" s="15"/>
      <c r="AF869" s="16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</row>
    <row r="870" spans="1:48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5"/>
      <c r="AB870" s="15"/>
      <c r="AC870" s="15"/>
      <c r="AD870" s="15"/>
      <c r="AE870" s="15"/>
      <c r="AF870" s="16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</row>
    <row r="871" spans="1:48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5"/>
      <c r="AB871" s="15"/>
      <c r="AC871" s="15"/>
      <c r="AD871" s="15"/>
      <c r="AE871" s="15"/>
      <c r="AF871" s="16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</row>
    <row r="872" spans="1:48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5"/>
      <c r="AB872" s="15"/>
      <c r="AC872" s="15"/>
      <c r="AD872" s="15"/>
      <c r="AE872" s="15"/>
      <c r="AF872" s="16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</row>
    <row r="873" spans="1:48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5"/>
      <c r="AB873" s="15"/>
      <c r="AC873" s="15"/>
      <c r="AD873" s="15"/>
      <c r="AE873" s="15"/>
      <c r="AF873" s="16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</row>
    <row r="874" spans="1:48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5"/>
      <c r="AB874" s="15"/>
      <c r="AC874" s="15"/>
      <c r="AD874" s="15"/>
      <c r="AE874" s="15"/>
      <c r="AF874" s="16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</row>
    <row r="875" spans="1:48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5"/>
      <c r="AB875" s="15"/>
      <c r="AC875" s="15"/>
      <c r="AD875" s="15"/>
      <c r="AE875" s="15"/>
      <c r="AF875" s="16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</row>
    <row r="876" spans="1:48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5"/>
      <c r="AB876" s="15"/>
      <c r="AC876" s="15"/>
      <c r="AD876" s="15"/>
      <c r="AE876" s="15"/>
      <c r="AF876" s="16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</row>
    <row r="877" spans="1:48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5"/>
      <c r="AB877" s="15"/>
      <c r="AC877" s="15"/>
      <c r="AD877" s="15"/>
      <c r="AE877" s="15"/>
      <c r="AF877" s="16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</row>
    <row r="878" spans="1:4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5"/>
      <c r="AB878" s="15"/>
      <c r="AC878" s="15"/>
      <c r="AD878" s="15"/>
      <c r="AE878" s="15"/>
      <c r="AF878" s="16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</row>
    <row r="879" spans="1:48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5"/>
      <c r="AB879" s="15"/>
      <c r="AC879" s="15"/>
      <c r="AD879" s="15"/>
      <c r="AE879" s="15"/>
      <c r="AF879" s="16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</row>
    <row r="880" spans="1:48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5"/>
      <c r="AB880" s="15"/>
      <c r="AC880" s="15"/>
      <c r="AD880" s="15"/>
      <c r="AE880" s="15"/>
      <c r="AF880" s="16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</row>
    <row r="881" spans="1:48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5"/>
      <c r="AB881" s="15"/>
      <c r="AC881" s="15"/>
      <c r="AD881" s="15"/>
      <c r="AE881" s="15"/>
      <c r="AF881" s="16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</row>
    <row r="882" spans="1:48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5"/>
      <c r="AB882" s="15"/>
      <c r="AC882" s="15"/>
      <c r="AD882" s="15"/>
      <c r="AE882" s="15"/>
      <c r="AF882" s="16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</row>
    <row r="883" spans="1:48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5"/>
      <c r="AB883" s="15"/>
      <c r="AC883" s="15"/>
      <c r="AD883" s="15"/>
      <c r="AE883" s="15"/>
      <c r="AF883" s="16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</row>
    <row r="884" spans="1:48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5"/>
      <c r="AB884" s="15"/>
      <c r="AC884" s="15"/>
      <c r="AD884" s="15"/>
      <c r="AE884" s="15"/>
      <c r="AF884" s="16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</row>
    <row r="885" spans="1:48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5"/>
      <c r="AB885" s="15"/>
      <c r="AC885" s="15"/>
      <c r="AD885" s="15"/>
      <c r="AE885" s="15"/>
      <c r="AF885" s="16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</row>
    <row r="886" spans="1:48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5"/>
      <c r="AB886" s="15"/>
      <c r="AC886" s="15"/>
      <c r="AD886" s="15"/>
      <c r="AE886" s="15"/>
      <c r="AF886" s="16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</row>
    <row r="887" spans="1:48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5"/>
      <c r="AB887" s="15"/>
      <c r="AC887" s="15"/>
      <c r="AD887" s="15"/>
      <c r="AE887" s="15"/>
      <c r="AF887" s="16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</row>
    <row r="888" spans="1:4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5"/>
      <c r="AB888" s="15"/>
      <c r="AC888" s="15"/>
      <c r="AD888" s="15"/>
      <c r="AE888" s="15"/>
      <c r="AF888" s="16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</row>
    <row r="889" spans="1:48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5"/>
      <c r="AB889" s="15"/>
      <c r="AC889" s="15"/>
      <c r="AD889" s="15"/>
      <c r="AE889" s="15"/>
      <c r="AF889" s="16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</row>
    <row r="890" spans="1:48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5"/>
      <c r="AB890" s="15"/>
      <c r="AC890" s="15"/>
      <c r="AD890" s="15"/>
      <c r="AE890" s="15"/>
      <c r="AF890" s="16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</row>
    <row r="891" spans="1:48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5"/>
      <c r="AB891" s="15"/>
      <c r="AC891" s="15"/>
      <c r="AD891" s="15"/>
      <c r="AE891" s="15"/>
      <c r="AF891" s="16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</row>
    <row r="892" spans="1:48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5"/>
      <c r="AB892" s="15"/>
      <c r="AC892" s="15"/>
      <c r="AD892" s="15"/>
      <c r="AE892" s="15"/>
      <c r="AF892" s="16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</row>
    <row r="893" spans="1:48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5"/>
      <c r="AB893" s="15"/>
      <c r="AC893" s="15"/>
      <c r="AD893" s="15"/>
      <c r="AE893" s="15"/>
      <c r="AF893" s="16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</row>
    <row r="894" spans="1:48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5"/>
      <c r="AB894" s="15"/>
      <c r="AC894" s="15"/>
      <c r="AD894" s="15"/>
      <c r="AE894" s="15"/>
      <c r="AF894" s="16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</row>
    <row r="895" spans="1:48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5"/>
      <c r="AB895" s="15"/>
      <c r="AC895" s="15"/>
      <c r="AD895" s="15"/>
      <c r="AE895" s="15"/>
      <c r="AF895" s="16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</row>
    <row r="896" spans="1:48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5"/>
      <c r="AB896" s="15"/>
      <c r="AC896" s="15"/>
      <c r="AD896" s="15"/>
      <c r="AE896" s="15"/>
      <c r="AF896" s="16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</row>
    <row r="897" spans="1:48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5"/>
      <c r="AB897" s="15"/>
      <c r="AC897" s="15"/>
      <c r="AD897" s="15"/>
      <c r="AE897" s="15"/>
      <c r="AF897" s="16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</row>
    <row r="898" spans="1:4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5"/>
      <c r="AB898" s="15"/>
      <c r="AC898" s="15"/>
      <c r="AD898" s="15"/>
      <c r="AE898" s="15"/>
      <c r="AF898" s="16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</row>
    <row r="899" spans="1:48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5"/>
      <c r="AB899" s="15"/>
      <c r="AC899" s="15"/>
      <c r="AD899" s="15"/>
      <c r="AE899" s="15"/>
      <c r="AF899" s="16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</row>
    <row r="900" spans="1:48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5"/>
      <c r="AB900" s="15"/>
      <c r="AC900" s="15"/>
      <c r="AD900" s="15"/>
      <c r="AE900" s="15"/>
      <c r="AF900" s="16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</row>
    <row r="901" spans="1:48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5"/>
      <c r="AB901" s="15"/>
      <c r="AC901" s="15"/>
      <c r="AD901" s="15"/>
      <c r="AE901" s="15"/>
      <c r="AF901" s="16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</row>
    <row r="902" spans="1:48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5"/>
      <c r="AB902" s="15"/>
      <c r="AC902" s="15"/>
      <c r="AD902" s="15"/>
      <c r="AE902" s="15"/>
      <c r="AF902" s="16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</row>
    <row r="903" spans="1:48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5"/>
      <c r="AB903" s="15"/>
      <c r="AC903" s="15"/>
      <c r="AD903" s="15"/>
      <c r="AE903" s="15"/>
      <c r="AF903" s="16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</row>
    <row r="904" spans="1:48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5"/>
      <c r="AB904" s="15"/>
      <c r="AC904" s="15"/>
      <c r="AD904" s="15"/>
      <c r="AE904" s="15"/>
      <c r="AF904" s="16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</row>
    <row r="905" spans="1:48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5"/>
      <c r="AB905" s="15"/>
      <c r="AC905" s="15"/>
      <c r="AD905" s="15"/>
      <c r="AE905" s="15"/>
      <c r="AF905" s="16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</row>
    <row r="906" spans="1:48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5"/>
      <c r="AB906" s="15"/>
      <c r="AC906" s="15"/>
      <c r="AD906" s="15"/>
      <c r="AE906" s="15"/>
      <c r="AF906" s="16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</row>
    <row r="907" spans="1:48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5"/>
      <c r="AB907" s="15"/>
      <c r="AC907" s="15"/>
      <c r="AD907" s="15"/>
      <c r="AE907" s="15"/>
      <c r="AF907" s="16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</row>
    <row r="908" spans="1:4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5"/>
      <c r="AB908" s="15"/>
      <c r="AC908" s="15"/>
      <c r="AD908" s="15"/>
      <c r="AE908" s="15"/>
      <c r="AF908" s="16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</row>
    <row r="909" spans="1:48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5"/>
      <c r="AB909" s="15"/>
      <c r="AC909" s="15"/>
      <c r="AD909" s="15"/>
      <c r="AE909" s="15"/>
      <c r="AF909" s="16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</row>
    <row r="910" spans="1:48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5"/>
      <c r="AB910" s="15"/>
      <c r="AC910" s="15"/>
      <c r="AD910" s="15"/>
      <c r="AE910" s="15"/>
      <c r="AF910" s="16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</row>
    <row r="911" spans="1:48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5"/>
      <c r="AB911" s="15"/>
      <c r="AC911" s="15"/>
      <c r="AD911" s="15"/>
      <c r="AE911" s="15"/>
      <c r="AF911" s="16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</row>
    <row r="912" spans="1:48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5"/>
      <c r="AB912" s="15"/>
      <c r="AC912" s="15"/>
      <c r="AD912" s="15"/>
      <c r="AE912" s="15"/>
      <c r="AF912" s="16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</row>
    <row r="913" spans="1:48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5"/>
      <c r="AB913" s="15"/>
      <c r="AC913" s="15"/>
      <c r="AD913" s="15"/>
      <c r="AE913" s="15"/>
      <c r="AF913" s="16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</row>
    <row r="914" spans="1:48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5"/>
      <c r="AB914" s="15"/>
      <c r="AC914" s="15"/>
      <c r="AD914" s="15"/>
      <c r="AE914" s="15"/>
      <c r="AF914" s="16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</row>
    <row r="915" spans="1:48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5"/>
      <c r="AB915" s="15"/>
      <c r="AC915" s="15"/>
      <c r="AD915" s="15"/>
      <c r="AE915" s="15"/>
      <c r="AF915" s="16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</row>
    <row r="916" spans="1:48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5"/>
      <c r="AB916" s="15"/>
      <c r="AC916" s="15"/>
      <c r="AD916" s="15"/>
      <c r="AE916" s="15"/>
      <c r="AF916" s="16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</row>
    <row r="917" spans="1:48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5"/>
      <c r="AB917" s="15"/>
      <c r="AC917" s="15"/>
      <c r="AD917" s="15"/>
      <c r="AE917" s="15"/>
      <c r="AF917" s="16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</row>
    <row r="918" spans="1:4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5"/>
      <c r="AB918" s="15"/>
      <c r="AC918" s="15"/>
      <c r="AD918" s="15"/>
      <c r="AE918" s="15"/>
      <c r="AF918" s="16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</row>
    <row r="919" spans="1:48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5"/>
      <c r="AB919" s="15"/>
      <c r="AC919" s="15"/>
      <c r="AD919" s="15"/>
      <c r="AE919" s="15"/>
      <c r="AF919" s="16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</row>
    <row r="920" spans="1:48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5"/>
      <c r="AB920" s="15"/>
      <c r="AC920" s="15"/>
      <c r="AD920" s="15"/>
      <c r="AE920" s="15"/>
      <c r="AF920" s="16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</row>
    <row r="921" spans="1:48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5"/>
      <c r="AB921" s="15"/>
      <c r="AC921" s="15"/>
      <c r="AD921" s="15"/>
      <c r="AE921" s="15"/>
      <c r="AF921" s="16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</row>
    <row r="922" spans="1:48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5"/>
      <c r="AB922" s="15"/>
      <c r="AC922" s="15"/>
      <c r="AD922" s="15"/>
      <c r="AE922" s="15"/>
      <c r="AF922" s="16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</row>
    <row r="923" spans="1:48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5"/>
      <c r="AB923" s="15"/>
      <c r="AC923" s="15"/>
      <c r="AD923" s="15"/>
      <c r="AE923" s="15"/>
      <c r="AF923" s="16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</row>
    <row r="924" spans="1:48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5"/>
      <c r="AB924" s="15"/>
      <c r="AC924" s="15"/>
      <c r="AD924" s="15"/>
      <c r="AE924" s="15"/>
      <c r="AF924" s="16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</row>
    <row r="925" spans="1:48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5"/>
      <c r="AB925" s="15"/>
      <c r="AC925" s="15"/>
      <c r="AD925" s="15"/>
      <c r="AE925" s="15"/>
      <c r="AF925" s="16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</row>
    <row r="926" spans="1:48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5"/>
      <c r="AB926" s="15"/>
      <c r="AC926" s="15"/>
      <c r="AD926" s="15"/>
      <c r="AE926" s="15"/>
      <c r="AF926" s="16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</row>
    <row r="927" spans="1:48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5"/>
      <c r="AB927" s="15"/>
      <c r="AC927" s="15"/>
      <c r="AD927" s="15"/>
      <c r="AE927" s="15"/>
      <c r="AF927" s="16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</row>
    <row r="928" spans="1:4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5"/>
      <c r="AB928" s="15"/>
      <c r="AC928" s="15"/>
      <c r="AD928" s="15"/>
      <c r="AE928" s="15"/>
      <c r="AF928" s="16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</row>
    <row r="929" spans="1:48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5"/>
      <c r="AB929" s="15"/>
      <c r="AC929" s="15"/>
      <c r="AD929" s="15"/>
      <c r="AE929" s="15"/>
      <c r="AF929" s="16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</row>
    <row r="930" spans="1:48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5"/>
      <c r="AB930" s="15"/>
      <c r="AC930" s="15"/>
      <c r="AD930" s="15"/>
      <c r="AE930" s="15"/>
      <c r="AF930" s="16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</row>
    <row r="931" spans="1:48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5"/>
      <c r="AB931" s="15"/>
      <c r="AC931" s="15"/>
      <c r="AD931" s="15"/>
      <c r="AE931" s="15"/>
      <c r="AF931" s="16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</row>
    <row r="932" spans="1:48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5"/>
      <c r="AB932" s="15"/>
      <c r="AC932" s="15"/>
      <c r="AD932" s="15"/>
      <c r="AE932" s="15"/>
      <c r="AF932" s="16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</row>
    <row r="933" spans="1:48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5"/>
      <c r="AB933" s="15"/>
      <c r="AC933" s="15"/>
      <c r="AD933" s="15"/>
      <c r="AE933" s="15"/>
      <c r="AF933" s="16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</row>
    <row r="934" spans="1:48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5"/>
      <c r="AB934" s="15"/>
      <c r="AC934" s="15"/>
      <c r="AD934" s="15"/>
      <c r="AE934" s="15"/>
      <c r="AF934" s="16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</row>
    <row r="935" spans="1:48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5"/>
      <c r="AB935" s="15"/>
      <c r="AC935" s="15"/>
      <c r="AD935" s="15"/>
      <c r="AE935" s="15"/>
      <c r="AF935" s="16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</row>
    <row r="936" spans="1:48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5"/>
      <c r="AB936" s="15"/>
      <c r="AC936" s="15"/>
      <c r="AD936" s="15"/>
      <c r="AE936" s="15"/>
      <c r="AF936" s="16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</row>
    <row r="937" spans="1:48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5"/>
      <c r="AB937" s="15"/>
      <c r="AC937" s="15"/>
      <c r="AD937" s="15"/>
      <c r="AE937" s="15"/>
      <c r="AF937" s="16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</row>
    <row r="938" spans="1:4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5"/>
      <c r="AB938" s="15"/>
      <c r="AC938" s="15"/>
      <c r="AD938" s="15"/>
      <c r="AE938" s="15"/>
      <c r="AF938" s="16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</row>
    <row r="939" spans="1:48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5"/>
      <c r="AB939" s="15"/>
      <c r="AC939" s="15"/>
      <c r="AD939" s="15"/>
      <c r="AE939" s="15"/>
      <c r="AF939" s="16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</row>
    <row r="940" spans="1:48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5"/>
      <c r="AB940" s="15"/>
      <c r="AC940" s="15"/>
      <c r="AD940" s="15"/>
      <c r="AE940" s="15"/>
      <c r="AF940" s="16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</row>
    <row r="941" spans="1:48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5"/>
      <c r="AB941" s="15"/>
      <c r="AC941" s="15"/>
      <c r="AD941" s="15"/>
      <c r="AE941" s="15"/>
      <c r="AF941" s="16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</row>
    <row r="942" spans="1:48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5"/>
      <c r="AB942" s="15"/>
      <c r="AC942" s="15"/>
      <c r="AD942" s="15"/>
      <c r="AE942" s="15"/>
      <c r="AF942" s="16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</row>
    <row r="943" spans="1:48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5"/>
      <c r="AB943" s="15"/>
      <c r="AC943" s="15"/>
      <c r="AD943" s="15"/>
      <c r="AE943" s="15"/>
      <c r="AF943" s="16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</row>
    <row r="944" spans="1:48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5"/>
      <c r="AB944" s="15"/>
      <c r="AC944" s="15"/>
      <c r="AD944" s="15"/>
      <c r="AE944" s="15"/>
      <c r="AF944" s="16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</row>
    <row r="945" spans="1:48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5"/>
      <c r="AB945" s="15"/>
      <c r="AC945" s="15"/>
      <c r="AD945" s="15"/>
      <c r="AE945" s="15"/>
      <c r="AF945" s="16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</row>
    <row r="946" spans="1:48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5"/>
      <c r="AB946" s="15"/>
      <c r="AC946" s="15"/>
      <c r="AD946" s="15"/>
      <c r="AE946" s="15"/>
      <c r="AF946" s="16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</row>
    <row r="947" spans="1:48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5"/>
      <c r="AB947" s="15"/>
      <c r="AC947" s="15"/>
      <c r="AD947" s="15"/>
      <c r="AE947" s="15"/>
      <c r="AF947" s="16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</row>
    <row r="948" spans="1: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5"/>
      <c r="AB948" s="15"/>
      <c r="AC948" s="15"/>
      <c r="AD948" s="15"/>
      <c r="AE948" s="15"/>
      <c r="AF948" s="16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</row>
    <row r="949" spans="1:48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5"/>
      <c r="AB949" s="15"/>
      <c r="AC949" s="15"/>
      <c r="AD949" s="15"/>
      <c r="AE949" s="15"/>
      <c r="AF949" s="16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</row>
    <row r="950" spans="1:48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5"/>
      <c r="AB950" s="15"/>
      <c r="AC950" s="15"/>
      <c r="AD950" s="15"/>
      <c r="AE950" s="15"/>
      <c r="AF950" s="16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</row>
    <row r="951" spans="1:48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5"/>
      <c r="AB951" s="15"/>
      <c r="AC951" s="15"/>
      <c r="AD951" s="15"/>
      <c r="AE951" s="15"/>
      <c r="AF951" s="16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</row>
    <row r="952" spans="1:48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5"/>
      <c r="AB952" s="15"/>
      <c r="AC952" s="15"/>
      <c r="AD952" s="15"/>
      <c r="AE952" s="15"/>
      <c r="AF952" s="16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</row>
    <row r="953" spans="1:48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5"/>
      <c r="AB953" s="15"/>
      <c r="AC953" s="15"/>
      <c r="AD953" s="15"/>
      <c r="AE953" s="15"/>
      <c r="AF953" s="16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</row>
    <row r="954" spans="1:48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5"/>
      <c r="AB954" s="15"/>
      <c r="AC954" s="15"/>
      <c r="AD954" s="15"/>
      <c r="AE954" s="15"/>
      <c r="AF954" s="16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</row>
    <row r="955" spans="1:48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5"/>
      <c r="AB955" s="15"/>
      <c r="AC955" s="15"/>
      <c r="AD955" s="15"/>
      <c r="AE955" s="15"/>
      <c r="AF955" s="16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</row>
    <row r="956" spans="1:48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5"/>
      <c r="AB956" s="15"/>
      <c r="AC956" s="15"/>
      <c r="AD956" s="15"/>
      <c r="AE956" s="15"/>
      <c r="AF956" s="16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</row>
    <row r="957" spans="1:48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5"/>
      <c r="AB957" s="15"/>
      <c r="AC957" s="15"/>
      <c r="AD957" s="15"/>
      <c r="AE957" s="15"/>
      <c r="AF957" s="16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</row>
    <row r="958" spans="1:4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5"/>
      <c r="AB958" s="15"/>
      <c r="AC958" s="15"/>
      <c r="AD958" s="15"/>
      <c r="AE958" s="15"/>
      <c r="AF958" s="16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</row>
    <row r="959" spans="1:48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5"/>
      <c r="AB959" s="15"/>
      <c r="AC959" s="15"/>
      <c r="AD959" s="15"/>
      <c r="AE959" s="15"/>
      <c r="AF959" s="16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</row>
    <row r="960" spans="1:48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5"/>
      <c r="AB960" s="15"/>
      <c r="AC960" s="15"/>
      <c r="AD960" s="15"/>
      <c r="AE960" s="15"/>
      <c r="AF960" s="16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</row>
    <row r="961" spans="1:48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5"/>
      <c r="AB961" s="15"/>
      <c r="AC961" s="15"/>
      <c r="AD961" s="15"/>
      <c r="AE961" s="15"/>
      <c r="AF961" s="16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</row>
    <row r="962" spans="1:48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5"/>
      <c r="AB962" s="15"/>
      <c r="AC962" s="15"/>
      <c r="AD962" s="15"/>
      <c r="AE962" s="15"/>
      <c r="AF962" s="16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</row>
    <row r="963" spans="1:48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5"/>
      <c r="AB963" s="15"/>
      <c r="AC963" s="15"/>
      <c r="AD963" s="15"/>
      <c r="AE963" s="15"/>
      <c r="AF963" s="16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</row>
    <row r="964" spans="1:48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5"/>
      <c r="AB964" s="15"/>
      <c r="AC964" s="15"/>
      <c r="AD964" s="15"/>
      <c r="AE964" s="15"/>
      <c r="AF964" s="16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</row>
    <row r="965" spans="1:48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5"/>
      <c r="AB965" s="15"/>
      <c r="AC965" s="15"/>
      <c r="AD965" s="15"/>
      <c r="AE965" s="15"/>
      <c r="AF965" s="16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</row>
    <row r="966" spans="1:48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5"/>
      <c r="AB966" s="15"/>
      <c r="AC966" s="15"/>
      <c r="AD966" s="15"/>
      <c r="AE966" s="15"/>
      <c r="AF966" s="16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</row>
    <row r="967" spans="1:48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5"/>
      <c r="AB967" s="15"/>
      <c r="AC967" s="15"/>
      <c r="AD967" s="15"/>
      <c r="AE967" s="15"/>
      <c r="AF967" s="16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</row>
    <row r="968" spans="1:4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5"/>
      <c r="AB968" s="15"/>
      <c r="AC968" s="15"/>
      <c r="AD968" s="15"/>
      <c r="AE968" s="15"/>
      <c r="AF968" s="16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</row>
    <row r="969" spans="1:48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5"/>
      <c r="AB969" s="15"/>
      <c r="AC969" s="15"/>
      <c r="AD969" s="15"/>
      <c r="AE969" s="15"/>
      <c r="AF969" s="16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</row>
    <row r="970" spans="1:48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5"/>
      <c r="AB970" s="15"/>
      <c r="AC970" s="15"/>
      <c r="AD970" s="15"/>
      <c r="AE970" s="15"/>
      <c r="AF970" s="16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</row>
    <row r="971" spans="1:48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5"/>
      <c r="AB971" s="15"/>
      <c r="AC971" s="15"/>
      <c r="AD971" s="15"/>
      <c r="AE971" s="15"/>
      <c r="AF971" s="16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</row>
    <row r="972" spans="1:48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5"/>
      <c r="AB972" s="15"/>
      <c r="AC972" s="15"/>
      <c r="AD972" s="15"/>
      <c r="AE972" s="15"/>
      <c r="AF972" s="16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</row>
    <row r="973" spans="1:48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5"/>
      <c r="AB973" s="15"/>
      <c r="AC973" s="15"/>
      <c r="AD973" s="15"/>
      <c r="AE973" s="15"/>
      <c r="AF973" s="16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</row>
    <row r="974" spans="1:48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5"/>
      <c r="AB974" s="15"/>
      <c r="AC974" s="15"/>
      <c r="AD974" s="15"/>
      <c r="AE974" s="15"/>
      <c r="AF974" s="16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</row>
    <row r="975" spans="1:48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5"/>
      <c r="AB975" s="15"/>
      <c r="AC975" s="15"/>
      <c r="AD975" s="15"/>
      <c r="AE975" s="15"/>
      <c r="AF975" s="16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</row>
    <row r="976" spans="1:48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5"/>
      <c r="AB976" s="15"/>
      <c r="AC976" s="15"/>
      <c r="AD976" s="15"/>
      <c r="AE976" s="15"/>
      <c r="AF976" s="16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</row>
    <row r="977" spans="1:48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5"/>
      <c r="AB977" s="15"/>
      <c r="AC977" s="15"/>
      <c r="AD977" s="15"/>
      <c r="AE977" s="15"/>
      <c r="AF977" s="16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</row>
    <row r="978" spans="1:4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5"/>
      <c r="AB978" s="15"/>
      <c r="AC978" s="15"/>
      <c r="AD978" s="15"/>
      <c r="AE978" s="15"/>
      <c r="AF978" s="16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</row>
    <row r="979" spans="1:48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5"/>
      <c r="AB979" s="15"/>
      <c r="AC979" s="15"/>
      <c r="AD979" s="15"/>
      <c r="AE979" s="15"/>
      <c r="AF979" s="16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</row>
    <row r="980" spans="1:48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5"/>
      <c r="AB980" s="15"/>
      <c r="AC980" s="15"/>
      <c r="AD980" s="15"/>
      <c r="AE980" s="15"/>
      <c r="AF980" s="16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</row>
    <row r="981" spans="1:48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5"/>
      <c r="AB981" s="15"/>
      <c r="AC981" s="15"/>
      <c r="AD981" s="15"/>
      <c r="AE981" s="15"/>
      <c r="AF981" s="16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</row>
    <row r="982" spans="1:48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5"/>
      <c r="AB982" s="15"/>
      <c r="AC982" s="15"/>
      <c r="AD982" s="15"/>
      <c r="AE982" s="15"/>
      <c r="AF982" s="16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</row>
    <row r="983" spans="1:48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5"/>
      <c r="AB983" s="15"/>
      <c r="AC983" s="15"/>
      <c r="AD983" s="15"/>
      <c r="AE983" s="15"/>
      <c r="AF983" s="16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</row>
    <row r="984" spans="1:48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5"/>
      <c r="AB984" s="15"/>
      <c r="AC984" s="15"/>
      <c r="AD984" s="15"/>
      <c r="AE984" s="15"/>
      <c r="AF984" s="16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</row>
    <row r="985" spans="1:48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5"/>
      <c r="AB985" s="15"/>
      <c r="AC985" s="15"/>
      <c r="AD985" s="15"/>
      <c r="AE985" s="15"/>
      <c r="AF985" s="16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</row>
    <row r="986" spans="1:48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5"/>
      <c r="AB986" s="15"/>
      <c r="AC986" s="15"/>
      <c r="AD986" s="15"/>
      <c r="AE986" s="15"/>
      <c r="AF986" s="16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</row>
    <row r="987" spans="1:48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5"/>
      <c r="AB987" s="15"/>
      <c r="AC987" s="15"/>
      <c r="AD987" s="15"/>
      <c r="AE987" s="15"/>
      <c r="AF987" s="16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</row>
    <row r="988" spans="1:4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5"/>
      <c r="AB988" s="15"/>
      <c r="AC988" s="15"/>
      <c r="AD988" s="15"/>
      <c r="AE988" s="15"/>
      <c r="AF988" s="16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</row>
    <row r="989" spans="1:48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5"/>
      <c r="AB989" s="15"/>
      <c r="AC989" s="15"/>
      <c r="AD989" s="15"/>
      <c r="AE989" s="15"/>
      <c r="AF989" s="16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</row>
    <row r="990" spans="1:48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5"/>
      <c r="AB990" s="15"/>
      <c r="AC990" s="15"/>
      <c r="AD990" s="15"/>
      <c r="AE990" s="15"/>
      <c r="AF990" s="16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</row>
    <row r="991" spans="1:48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5"/>
      <c r="AB991" s="15"/>
      <c r="AC991" s="15"/>
      <c r="AD991" s="15"/>
      <c r="AE991" s="15"/>
      <c r="AF991" s="16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</row>
    <row r="992" spans="1:48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5"/>
      <c r="AB992" s="15"/>
      <c r="AC992" s="15"/>
      <c r="AD992" s="15"/>
      <c r="AE992" s="15"/>
      <c r="AF992" s="16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</row>
    <row r="993" spans="1:48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5"/>
      <c r="AB993" s="15"/>
      <c r="AC993" s="15"/>
      <c r="AD993" s="15"/>
      <c r="AE993" s="15"/>
      <c r="AF993" s="16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</row>
    <row r="994" spans="1:48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5"/>
      <c r="AB994" s="15"/>
      <c r="AC994" s="15"/>
      <c r="AD994" s="15"/>
      <c r="AE994" s="15"/>
      <c r="AF994" s="16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</row>
    <row r="995" spans="1:48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5"/>
      <c r="AB995" s="15"/>
      <c r="AC995" s="15"/>
      <c r="AD995" s="15"/>
      <c r="AE995" s="15"/>
      <c r="AF995" s="16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</row>
    <row r="996" spans="1:48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5"/>
      <c r="AB996" s="15"/>
      <c r="AC996" s="15"/>
      <c r="AD996" s="15"/>
      <c r="AE996" s="15"/>
      <c r="AF996" s="16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</row>
    <row r="997" spans="1:48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5"/>
      <c r="AB997" s="15"/>
      <c r="AC997" s="15"/>
      <c r="AD997" s="15"/>
      <c r="AE997" s="15"/>
      <c r="AF997" s="16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</row>
    <row r="998" spans="1:4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5"/>
      <c r="AB998" s="15"/>
      <c r="AC998" s="15"/>
      <c r="AD998" s="15"/>
      <c r="AE998" s="15"/>
      <c r="AF998" s="16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</row>
  </sheetData>
  <mergeCells count="8">
    <mergeCell ref="P31:V31"/>
    <mergeCell ref="C1:O1"/>
    <mergeCell ref="AI12:AJ12"/>
    <mergeCell ref="AK12:AM12"/>
    <mergeCell ref="G21:N21"/>
    <mergeCell ref="H22:J22"/>
    <mergeCell ref="K22:N22"/>
    <mergeCell ref="P22:V22"/>
  </mergeCells>
  <dataValidations count="5">
    <dataValidation type="list" allowBlank="1" showErrorMessage="1" sqref="F3:F19" xr:uid="{8FFFC857-27E2-4F14-BF81-6A6E59492E27}">
      <formula1>"refact,relap,relap/ refac"</formula1>
    </dataValidation>
    <dataValidation type="list" allowBlank="1" showErrorMessage="1" sqref="J3:J19" xr:uid="{9CF1F7EA-4CA6-4932-AC42-AC6EA1BFB3B2}">
      <formula1>"NA,CR"</formula1>
    </dataValidation>
    <dataValidation type="list" allowBlank="1" showErrorMessage="1" sqref="AD3:AD18" xr:uid="{111217EF-1F6A-4CC5-B51D-A63A11ED86D6}">
      <formula1>"không,có"</formula1>
    </dataValidation>
    <dataValidation type="list" allowBlank="1" showErrorMessage="1" sqref="K3:K19" xr:uid="{9A54EB4C-8FCF-44A7-A93C-8F8252DD0A0C}">
      <formula1>"No response,CR,tái phát"</formula1>
    </dataValidation>
    <dataValidation type="list" allowBlank="1" showErrorMessage="1" sqref="E3:E19" xr:uid="{05CF1E6D-52C9-40AA-9CEB-A79A0B391D77}">
      <formula1>"NHL,ALL"</formula1>
    </dataValidation>
  </dataValidation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E7A8-6415-4059-8CBA-74BA2960EDAB}">
  <dimension ref="A1:AY1000"/>
  <sheetViews>
    <sheetView topLeftCell="V1" zoomScale="85" zoomScaleNormal="85" workbookViewId="0">
      <selection activeCell="Q10" sqref="Q10"/>
    </sheetView>
  </sheetViews>
  <sheetFormatPr defaultColWidth="12.6328125" defaultRowHeight="14.5"/>
  <cols>
    <col min="1" max="1" width="9.81640625" customWidth="1"/>
    <col min="3" max="3" width="11.6328125" customWidth="1"/>
    <col min="4" max="4" width="8.7265625" customWidth="1"/>
    <col min="40" max="40" width="14.6328125" customWidth="1"/>
  </cols>
  <sheetData>
    <row r="1" spans="1:51" ht="70">
      <c r="A1" s="95" t="s">
        <v>1</v>
      </c>
      <c r="B1" s="96" t="s">
        <v>2</v>
      </c>
      <c r="C1" s="19" t="s">
        <v>56</v>
      </c>
      <c r="D1" s="97" t="s">
        <v>161</v>
      </c>
      <c r="E1" s="98" t="s">
        <v>162</v>
      </c>
      <c r="F1" s="98" t="s">
        <v>163</v>
      </c>
      <c r="G1" s="98" t="s">
        <v>164</v>
      </c>
      <c r="H1" s="98" t="s">
        <v>162</v>
      </c>
      <c r="I1" s="98" t="s">
        <v>165</v>
      </c>
      <c r="J1" s="98" t="s">
        <v>163</v>
      </c>
      <c r="K1" s="98" t="s">
        <v>164</v>
      </c>
      <c r="L1" s="98" t="s">
        <v>166</v>
      </c>
      <c r="M1" s="98" t="s">
        <v>167</v>
      </c>
      <c r="N1" s="97" t="s">
        <v>5</v>
      </c>
      <c r="O1" s="97" t="s">
        <v>58</v>
      </c>
      <c r="P1" s="97" t="s">
        <v>168</v>
      </c>
      <c r="Q1" s="97" t="s">
        <v>75</v>
      </c>
      <c r="R1" s="97" t="s">
        <v>76</v>
      </c>
      <c r="S1" s="97" t="s">
        <v>71</v>
      </c>
      <c r="T1" s="97" t="s">
        <v>72</v>
      </c>
      <c r="U1" s="97" t="s">
        <v>73</v>
      </c>
      <c r="V1" s="97" t="s">
        <v>74</v>
      </c>
      <c r="W1" s="97" t="s">
        <v>169</v>
      </c>
      <c r="X1" s="97" t="s">
        <v>170</v>
      </c>
      <c r="Y1" s="97" t="s">
        <v>171</v>
      </c>
      <c r="Z1" s="97" t="s">
        <v>172</v>
      </c>
      <c r="AA1" s="97" t="s">
        <v>173</v>
      </c>
      <c r="AB1" s="97" t="s">
        <v>174</v>
      </c>
      <c r="AC1" s="97" t="s">
        <v>175</v>
      </c>
      <c r="AD1" s="97"/>
      <c r="AE1" s="97" t="s">
        <v>176</v>
      </c>
      <c r="AF1" s="97" t="s">
        <v>177</v>
      </c>
      <c r="AG1" s="97" t="s">
        <v>178</v>
      </c>
      <c r="AH1" s="97" t="s">
        <v>179</v>
      </c>
      <c r="AI1" s="99" t="s">
        <v>180</v>
      </c>
      <c r="AJ1" s="97" t="s">
        <v>181</v>
      </c>
      <c r="AK1" s="97" t="s">
        <v>182</v>
      </c>
      <c r="AL1" s="100" t="s">
        <v>183</v>
      </c>
      <c r="AM1" s="97" t="s">
        <v>184</v>
      </c>
      <c r="AN1" s="101" t="s">
        <v>185</v>
      </c>
      <c r="AO1" s="99" t="s">
        <v>186</v>
      </c>
      <c r="AP1" s="99"/>
      <c r="AQ1" s="99"/>
      <c r="AR1" s="97" t="s">
        <v>187</v>
      </c>
      <c r="AS1" s="102" t="s">
        <v>188</v>
      </c>
      <c r="AT1" s="102" t="s">
        <v>189</v>
      </c>
      <c r="AU1" s="97" t="s">
        <v>190</v>
      </c>
      <c r="AV1" s="102" t="s">
        <v>68</v>
      </c>
      <c r="AW1" s="97" t="s">
        <v>191</v>
      </c>
      <c r="AX1" s="97" t="s">
        <v>192</v>
      </c>
      <c r="AY1" s="103"/>
    </row>
    <row r="2" spans="1:51" ht="15.5">
      <c r="A2" s="104">
        <v>1</v>
      </c>
      <c r="B2" s="105">
        <v>201217917</v>
      </c>
      <c r="C2" s="106" t="s">
        <v>33</v>
      </c>
      <c r="D2" s="107" t="s">
        <v>34</v>
      </c>
      <c r="E2" s="108">
        <v>45238</v>
      </c>
      <c r="F2" s="109" t="s">
        <v>193</v>
      </c>
      <c r="G2" s="110" t="s">
        <v>194</v>
      </c>
      <c r="H2" s="111">
        <v>45149</v>
      </c>
      <c r="I2" s="111"/>
      <c r="J2" s="111">
        <v>45163</v>
      </c>
      <c r="K2" s="111">
        <v>45194</v>
      </c>
      <c r="L2" s="112">
        <f t="shared" ref="L2:L17" si="0">DATEDIF(H2,K2,"d")</f>
        <v>45</v>
      </c>
      <c r="M2" s="107">
        <f t="shared" ref="M2:M17" si="1">DATEDIF(J2,K2,"d")</f>
        <v>31</v>
      </c>
      <c r="N2" s="107" t="s">
        <v>32</v>
      </c>
      <c r="O2" s="113">
        <v>3</v>
      </c>
      <c r="P2" s="107" t="s">
        <v>105</v>
      </c>
      <c r="Q2" s="107"/>
      <c r="R2" s="107"/>
      <c r="S2" s="107"/>
      <c r="T2" s="107"/>
      <c r="U2" s="113">
        <v>1E-3</v>
      </c>
      <c r="V2" s="113">
        <v>1E-4</v>
      </c>
      <c r="W2" s="114">
        <v>0.05</v>
      </c>
      <c r="X2" s="114">
        <v>0</v>
      </c>
      <c r="Y2" s="114">
        <v>0</v>
      </c>
      <c r="Z2" s="114">
        <v>0.01</v>
      </c>
      <c r="AA2" s="113">
        <v>8</v>
      </c>
      <c r="AB2" s="115">
        <v>1</v>
      </c>
      <c r="AC2" s="107" t="s">
        <v>195</v>
      </c>
      <c r="AD2" s="107">
        <v>6</v>
      </c>
      <c r="AE2" s="107" t="s">
        <v>196</v>
      </c>
      <c r="AF2" s="107" t="s">
        <v>197</v>
      </c>
      <c r="AG2" s="113">
        <v>31</v>
      </c>
      <c r="AH2" s="113">
        <v>65</v>
      </c>
      <c r="AI2" s="115">
        <v>109</v>
      </c>
      <c r="AJ2" s="113">
        <v>20</v>
      </c>
      <c r="AK2" s="113">
        <v>39.299999999999997</v>
      </c>
      <c r="AL2" s="113">
        <v>0</v>
      </c>
      <c r="AM2" s="107" t="s">
        <v>198</v>
      </c>
      <c r="AN2" s="116">
        <v>1</v>
      </c>
      <c r="AO2" s="117">
        <v>48</v>
      </c>
      <c r="AP2" s="118">
        <f t="shared" ref="AP2:AP17" si="2">AD2*24+AO2</f>
        <v>192</v>
      </c>
      <c r="AQ2" s="119">
        <f t="shared" ref="AQ2:AQ5" si="3">AP2/24</f>
        <v>8</v>
      </c>
      <c r="AR2" s="107" t="s">
        <v>92</v>
      </c>
      <c r="AS2" s="107" t="s">
        <v>94</v>
      </c>
      <c r="AT2" s="107" t="s">
        <v>94</v>
      </c>
      <c r="AU2" s="107"/>
      <c r="AV2" s="107"/>
      <c r="AW2" s="107"/>
      <c r="AX2" s="107"/>
      <c r="AY2" s="120"/>
    </row>
    <row r="3" spans="1:51" ht="15.5">
      <c r="A3" s="104">
        <v>2</v>
      </c>
      <c r="B3" s="105">
        <v>201246602</v>
      </c>
      <c r="C3" s="44" t="s">
        <v>111</v>
      </c>
      <c r="D3" s="121" t="s">
        <v>37</v>
      </c>
      <c r="E3" s="110" t="s">
        <v>199</v>
      </c>
      <c r="F3" s="122">
        <v>45026</v>
      </c>
      <c r="G3" s="108">
        <v>44996</v>
      </c>
      <c r="H3" s="111">
        <v>45189</v>
      </c>
      <c r="I3" s="111"/>
      <c r="J3" s="111">
        <v>45203</v>
      </c>
      <c r="K3" s="111">
        <v>45233</v>
      </c>
      <c r="L3" s="112">
        <f t="shared" si="0"/>
        <v>44</v>
      </c>
      <c r="M3" s="107">
        <f t="shared" si="1"/>
        <v>30</v>
      </c>
      <c r="N3" s="107" t="s">
        <v>32</v>
      </c>
      <c r="O3" s="113">
        <v>3</v>
      </c>
      <c r="P3" s="107" t="s">
        <v>105</v>
      </c>
      <c r="Q3" s="107"/>
      <c r="R3" s="107"/>
      <c r="S3" s="113">
        <v>1.5E-3</v>
      </c>
      <c r="T3" s="113">
        <v>1.1999999999999999E-3</v>
      </c>
      <c r="U3" s="107" t="s">
        <v>115</v>
      </c>
      <c r="V3" s="107"/>
      <c r="W3" s="114">
        <v>0.1</v>
      </c>
      <c r="X3" s="114">
        <v>0</v>
      </c>
      <c r="Y3" s="114">
        <v>0.88</v>
      </c>
      <c r="Z3" s="107"/>
      <c r="AA3" s="113">
        <v>12</v>
      </c>
      <c r="AB3" s="115">
        <v>2</v>
      </c>
      <c r="AC3" s="107" t="s">
        <v>200</v>
      </c>
      <c r="AD3" s="107">
        <v>1</v>
      </c>
      <c r="AE3" s="107" t="s">
        <v>201</v>
      </c>
      <c r="AF3" s="113">
        <v>2</v>
      </c>
      <c r="AG3" s="113">
        <v>28</v>
      </c>
      <c r="AH3" s="113">
        <v>28</v>
      </c>
      <c r="AI3" s="115">
        <v>28</v>
      </c>
      <c r="AJ3" s="113">
        <v>21</v>
      </c>
      <c r="AK3" s="113">
        <v>38.299999999999997</v>
      </c>
      <c r="AL3" s="113">
        <v>0</v>
      </c>
      <c r="AM3" s="107" t="s">
        <v>198</v>
      </c>
      <c r="AN3" s="116">
        <v>1</v>
      </c>
      <c r="AO3" s="117">
        <v>1</v>
      </c>
      <c r="AP3" s="118">
        <f t="shared" si="2"/>
        <v>25</v>
      </c>
      <c r="AQ3" s="119">
        <f t="shared" si="3"/>
        <v>1.0416666666666667</v>
      </c>
      <c r="AR3" s="107" t="s">
        <v>88</v>
      </c>
      <c r="AS3" s="107" t="s">
        <v>94</v>
      </c>
      <c r="AT3" s="107" t="s">
        <v>202</v>
      </c>
      <c r="AU3" s="108">
        <v>45352</v>
      </c>
      <c r="AV3" s="107"/>
      <c r="AW3" s="107"/>
      <c r="AX3" s="107"/>
      <c r="AY3" s="120"/>
    </row>
    <row r="4" spans="1:51" ht="15.5">
      <c r="A4" s="104">
        <f t="shared" ref="A4:A17" si="4">A3+1</f>
        <v>3</v>
      </c>
      <c r="B4" s="105">
        <v>201269561</v>
      </c>
      <c r="C4" s="106" t="s">
        <v>38</v>
      </c>
      <c r="D4" s="107" t="s">
        <v>39</v>
      </c>
      <c r="E4" s="110" t="s">
        <v>203</v>
      </c>
      <c r="F4" s="123" t="s">
        <v>204</v>
      </c>
      <c r="G4" s="110" t="s">
        <v>205</v>
      </c>
      <c r="H4" s="111">
        <v>45245</v>
      </c>
      <c r="I4" s="111"/>
      <c r="J4" s="111">
        <v>45255</v>
      </c>
      <c r="K4" s="111">
        <v>45278</v>
      </c>
      <c r="L4" s="112">
        <f t="shared" si="0"/>
        <v>33</v>
      </c>
      <c r="M4" s="107">
        <f t="shared" si="1"/>
        <v>23</v>
      </c>
      <c r="N4" s="107" t="s">
        <v>32</v>
      </c>
      <c r="O4" s="113">
        <v>1</v>
      </c>
      <c r="P4" s="107" t="s">
        <v>93</v>
      </c>
      <c r="Q4" s="107"/>
      <c r="R4" s="107"/>
      <c r="S4" s="113">
        <v>1E-4</v>
      </c>
      <c r="T4" s="113">
        <v>2.3999999999999998E-3</v>
      </c>
      <c r="U4" s="113">
        <v>4.4000000000000003E-3</v>
      </c>
      <c r="V4" s="113">
        <v>5.1999999999999998E-3</v>
      </c>
      <c r="W4" s="114">
        <v>0</v>
      </c>
      <c r="X4" s="114">
        <v>0</v>
      </c>
      <c r="Y4" s="114">
        <v>0</v>
      </c>
      <c r="Z4" s="114">
        <v>0</v>
      </c>
      <c r="AA4" s="113">
        <v>5</v>
      </c>
      <c r="AB4" s="115">
        <v>1</v>
      </c>
      <c r="AC4" s="107" t="s">
        <v>206</v>
      </c>
      <c r="AD4" s="107">
        <v>5</v>
      </c>
      <c r="AE4" s="107" t="s">
        <v>207</v>
      </c>
      <c r="AF4" s="107" t="s">
        <v>197</v>
      </c>
      <c r="AG4" s="113">
        <v>19</v>
      </c>
      <c r="AH4" s="113">
        <v>46</v>
      </c>
      <c r="AI4" s="115">
        <v>474</v>
      </c>
      <c r="AJ4" s="113">
        <v>32</v>
      </c>
      <c r="AK4" s="113">
        <v>38.9</v>
      </c>
      <c r="AL4" s="113">
        <v>0</v>
      </c>
      <c r="AM4" s="107" t="s">
        <v>198</v>
      </c>
      <c r="AN4" s="116">
        <v>3</v>
      </c>
      <c r="AO4" s="117">
        <v>6</v>
      </c>
      <c r="AP4" s="118">
        <f t="shared" si="2"/>
        <v>126</v>
      </c>
      <c r="AQ4" s="119">
        <f t="shared" si="3"/>
        <v>5.25</v>
      </c>
      <c r="AR4" s="107" t="s">
        <v>92</v>
      </c>
      <c r="AS4" s="107" t="s">
        <v>94</v>
      </c>
      <c r="AT4" s="107" t="s">
        <v>94</v>
      </c>
      <c r="AU4" s="107"/>
      <c r="AV4" s="107"/>
      <c r="AW4" s="107"/>
      <c r="AX4" s="107"/>
      <c r="AY4" s="120"/>
    </row>
    <row r="5" spans="1:51" ht="15.5">
      <c r="A5" s="104">
        <f t="shared" si="4"/>
        <v>4</v>
      </c>
      <c r="B5" s="124">
        <v>201273725</v>
      </c>
      <c r="C5" s="125" t="s">
        <v>41</v>
      </c>
      <c r="D5" s="118" t="s">
        <v>42</v>
      </c>
      <c r="E5" s="126" t="s">
        <v>208</v>
      </c>
      <c r="F5" s="127" t="s">
        <v>209</v>
      </c>
      <c r="G5" s="126" t="s">
        <v>210</v>
      </c>
      <c r="H5" s="128">
        <v>45243</v>
      </c>
      <c r="I5" s="128"/>
      <c r="J5" s="128">
        <v>45287</v>
      </c>
      <c r="K5" s="128">
        <v>45317</v>
      </c>
      <c r="L5" s="129">
        <f t="shared" si="0"/>
        <v>74</v>
      </c>
      <c r="M5" s="118">
        <f t="shared" si="1"/>
        <v>30</v>
      </c>
      <c r="N5" s="118" t="s">
        <v>32</v>
      </c>
      <c r="O5" s="130">
        <v>3</v>
      </c>
      <c r="P5" s="118" t="s">
        <v>105</v>
      </c>
      <c r="Q5" s="118"/>
      <c r="R5" s="118"/>
      <c r="S5" s="130">
        <v>9.8000000000000004E-2</v>
      </c>
      <c r="T5" s="130">
        <v>5.0000000000000001E-4</v>
      </c>
      <c r="U5" s="118"/>
      <c r="V5" s="118"/>
      <c r="W5" s="131">
        <v>0.04</v>
      </c>
      <c r="X5" s="131">
        <v>0</v>
      </c>
      <c r="Y5" s="132"/>
      <c r="Z5" s="118"/>
      <c r="AA5" s="130">
        <v>16</v>
      </c>
      <c r="AB5" s="130">
        <v>1</v>
      </c>
      <c r="AC5" s="118" t="s">
        <v>211</v>
      </c>
      <c r="AD5" s="118">
        <v>0</v>
      </c>
      <c r="AE5" s="118" t="s">
        <v>212</v>
      </c>
      <c r="AF5" s="130">
        <v>3</v>
      </c>
      <c r="AG5" s="130">
        <v>18</v>
      </c>
      <c r="AH5" s="130">
        <v>48</v>
      </c>
      <c r="AI5" s="130">
        <v>6155</v>
      </c>
      <c r="AJ5" s="130">
        <v>44</v>
      </c>
      <c r="AK5" s="130">
        <v>40</v>
      </c>
      <c r="AL5" s="130">
        <v>0</v>
      </c>
      <c r="AM5" s="118" t="s">
        <v>198</v>
      </c>
      <c r="AN5" s="133">
        <v>14</v>
      </c>
      <c r="AO5" s="118">
        <v>6</v>
      </c>
      <c r="AP5" s="118">
        <f t="shared" si="2"/>
        <v>6</v>
      </c>
      <c r="AQ5" s="119">
        <f t="shared" si="3"/>
        <v>0.25</v>
      </c>
      <c r="AR5" s="118" t="s">
        <v>92</v>
      </c>
      <c r="AS5" s="118" t="s">
        <v>94</v>
      </c>
      <c r="AT5" s="118" t="s">
        <v>202</v>
      </c>
      <c r="AU5" s="118" t="s">
        <v>213</v>
      </c>
      <c r="AV5" s="126" t="s">
        <v>214</v>
      </c>
      <c r="AW5" s="118"/>
      <c r="AX5" s="118"/>
      <c r="AY5" s="134"/>
    </row>
    <row r="6" spans="1:51" ht="15.5">
      <c r="A6" s="104">
        <f t="shared" si="4"/>
        <v>5</v>
      </c>
      <c r="B6" s="135">
        <v>201326301</v>
      </c>
      <c r="C6" s="106" t="s">
        <v>44</v>
      </c>
      <c r="D6" s="136" t="s">
        <v>45</v>
      </c>
      <c r="E6" s="137" t="s">
        <v>215</v>
      </c>
      <c r="F6" s="122">
        <v>45446</v>
      </c>
      <c r="G6" s="137" t="s">
        <v>216</v>
      </c>
      <c r="H6" s="138">
        <v>45343</v>
      </c>
      <c r="I6" s="138"/>
      <c r="J6" s="138">
        <v>45357</v>
      </c>
      <c r="K6" s="138">
        <v>45378</v>
      </c>
      <c r="L6" s="139">
        <f t="shared" si="0"/>
        <v>35</v>
      </c>
      <c r="M6" s="107">
        <f t="shared" si="1"/>
        <v>21</v>
      </c>
      <c r="N6" s="136" t="s">
        <v>32</v>
      </c>
      <c r="O6" s="140">
        <v>2</v>
      </c>
      <c r="P6" s="136" t="s">
        <v>93</v>
      </c>
      <c r="Q6" s="136"/>
      <c r="R6" s="136"/>
      <c r="S6" s="140">
        <v>2.5000000000000001E-2</v>
      </c>
      <c r="T6" s="140">
        <v>2.9999999999999997E-4</v>
      </c>
      <c r="U6" s="140">
        <v>2.9999999999999997E-4</v>
      </c>
      <c r="V6" s="140">
        <v>2.0000000000000001E-4</v>
      </c>
      <c r="W6" s="141">
        <v>0</v>
      </c>
      <c r="X6" s="141">
        <v>0</v>
      </c>
      <c r="Y6" s="141">
        <v>0</v>
      </c>
      <c r="Z6" s="141">
        <v>0</v>
      </c>
      <c r="AA6" s="140">
        <v>24</v>
      </c>
      <c r="AB6" s="115">
        <v>0</v>
      </c>
      <c r="AC6" s="136"/>
      <c r="AD6" s="136"/>
      <c r="AE6" s="136"/>
      <c r="AF6" s="140">
        <v>4</v>
      </c>
      <c r="AG6" s="136"/>
      <c r="AH6" s="136"/>
      <c r="AI6" s="115">
        <v>11</v>
      </c>
      <c r="AJ6" s="136"/>
      <c r="AK6" s="136"/>
      <c r="AL6" s="140">
        <v>0</v>
      </c>
      <c r="AM6" s="136" t="s">
        <v>92</v>
      </c>
      <c r="AN6" s="142"/>
      <c r="AO6" s="117"/>
      <c r="AP6" s="118">
        <f t="shared" si="2"/>
        <v>0</v>
      </c>
      <c r="AQ6" s="119"/>
      <c r="AR6" s="136" t="s">
        <v>92</v>
      </c>
      <c r="AS6" s="136" t="s">
        <v>94</v>
      </c>
      <c r="AT6" s="136" t="s">
        <v>94</v>
      </c>
      <c r="AU6" s="136"/>
      <c r="AV6" s="136"/>
      <c r="AW6" s="136"/>
      <c r="AX6" s="136"/>
      <c r="AY6" s="143"/>
    </row>
    <row r="7" spans="1:51" ht="15.5">
      <c r="A7" s="104">
        <f t="shared" si="4"/>
        <v>6</v>
      </c>
      <c r="B7" s="135">
        <v>201309405</v>
      </c>
      <c r="C7" s="144" t="s">
        <v>46</v>
      </c>
      <c r="D7" s="136" t="s">
        <v>47</v>
      </c>
      <c r="E7" s="145">
        <v>45385</v>
      </c>
      <c r="F7" s="123" t="s">
        <v>217</v>
      </c>
      <c r="G7" s="137" t="s">
        <v>218</v>
      </c>
      <c r="H7" s="138">
        <v>45355</v>
      </c>
      <c r="I7" s="138"/>
      <c r="J7" s="138">
        <v>45366</v>
      </c>
      <c r="K7" s="138">
        <v>45399</v>
      </c>
      <c r="L7" s="139">
        <f t="shared" si="0"/>
        <v>44</v>
      </c>
      <c r="M7" s="107">
        <f t="shared" si="1"/>
        <v>33</v>
      </c>
      <c r="N7" s="136" t="s">
        <v>32</v>
      </c>
      <c r="O7" s="140">
        <v>1</v>
      </c>
      <c r="P7" s="136" t="s">
        <v>93</v>
      </c>
      <c r="Q7" s="136"/>
      <c r="R7" s="136"/>
      <c r="S7" s="140">
        <v>6.9999999999999999E-4</v>
      </c>
      <c r="T7" s="140">
        <v>8.9999999999999998E-4</v>
      </c>
      <c r="U7" s="140">
        <v>5.9999999999999995E-4</v>
      </c>
      <c r="V7" s="136" t="s">
        <v>219</v>
      </c>
      <c r="W7" s="141">
        <v>0</v>
      </c>
      <c r="X7" s="141">
        <v>0</v>
      </c>
      <c r="Y7" s="141">
        <v>0</v>
      </c>
      <c r="Z7" s="141">
        <v>0</v>
      </c>
      <c r="AA7" s="140">
        <v>11</v>
      </c>
      <c r="AB7" s="115">
        <v>0</v>
      </c>
      <c r="AC7" s="136"/>
      <c r="AD7" s="136"/>
      <c r="AE7" s="136"/>
      <c r="AF7" s="136" t="s">
        <v>197</v>
      </c>
      <c r="AG7" s="136"/>
      <c r="AH7" s="136"/>
      <c r="AI7" s="115">
        <v>4</v>
      </c>
      <c r="AJ7" s="136"/>
      <c r="AK7" s="136"/>
      <c r="AL7" s="140">
        <v>0</v>
      </c>
      <c r="AM7" s="136" t="s">
        <v>92</v>
      </c>
      <c r="AN7" s="142"/>
      <c r="AO7" s="117"/>
      <c r="AP7" s="118">
        <f t="shared" si="2"/>
        <v>0</v>
      </c>
      <c r="AQ7" s="119"/>
      <c r="AR7" s="136" t="s">
        <v>92</v>
      </c>
      <c r="AS7" s="136" t="s">
        <v>94</v>
      </c>
      <c r="AT7" s="136" t="s">
        <v>94</v>
      </c>
      <c r="AU7" s="136"/>
      <c r="AV7" s="136"/>
      <c r="AW7" s="136"/>
      <c r="AX7" s="136"/>
      <c r="AY7" s="143"/>
    </row>
    <row r="8" spans="1:51" ht="15.5">
      <c r="A8" s="104">
        <f t="shared" si="4"/>
        <v>7</v>
      </c>
      <c r="B8" s="124">
        <v>201348734</v>
      </c>
      <c r="C8" s="125" t="s">
        <v>49</v>
      </c>
      <c r="D8" s="146" t="s">
        <v>50</v>
      </c>
      <c r="E8" s="146" t="s">
        <v>220</v>
      </c>
      <c r="F8" s="127" t="s">
        <v>221</v>
      </c>
      <c r="G8" s="146" t="s">
        <v>19</v>
      </c>
      <c r="H8" s="147">
        <v>45397</v>
      </c>
      <c r="I8" s="147"/>
      <c r="J8" s="147">
        <v>45406</v>
      </c>
      <c r="K8" s="147">
        <v>45434</v>
      </c>
      <c r="L8" s="129">
        <f t="shared" si="0"/>
        <v>37</v>
      </c>
      <c r="M8" s="118">
        <f t="shared" si="1"/>
        <v>28</v>
      </c>
      <c r="N8" s="118" t="s">
        <v>32</v>
      </c>
      <c r="O8" s="130">
        <v>2</v>
      </c>
      <c r="P8" s="118" t="s">
        <v>93</v>
      </c>
      <c r="Q8" s="118"/>
      <c r="R8" s="118"/>
      <c r="S8" s="130">
        <v>8.0000000000000004E-4</v>
      </c>
      <c r="T8" s="130">
        <v>2.9999999999999997E-4</v>
      </c>
      <c r="U8" s="130">
        <v>1E-3</v>
      </c>
      <c r="V8" s="118"/>
      <c r="W8" s="131">
        <v>0</v>
      </c>
      <c r="X8" s="131">
        <v>0</v>
      </c>
      <c r="Y8" s="131">
        <v>0.03</v>
      </c>
      <c r="Z8" s="118"/>
      <c r="AA8" s="130">
        <v>40</v>
      </c>
      <c r="AB8" s="130">
        <v>1</v>
      </c>
      <c r="AC8" s="118" t="s">
        <v>200</v>
      </c>
      <c r="AD8" s="118">
        <v>1</v>
      </c>
      <c r="AE8" s="118" t="s">
        <v>212</v>
      </c>
      <c r="AF8" s="130">
        <v>3</v>
      </c>
      <c r="AG8" s="130">
        <v>148</v>
      </c>
      <c r="AH8" s="130">
        <v>499</v>
      </c>
      <c r="AI8" s="130">
        <v>6785</v>
      </c>
      <c r="AJ8" s="130">
        <v>221</v>
      </c>
      <c r="AK8" s="130">
        <v>39.9</v>
      </c>
      <c r="AL8" s="130">
        <v>1</v>
      </c>
      <c r="AM8" s="118" t="s">
        <v>88</v>
      </c>
      <c r="AN8" s="133">
        <v>10</v>
      </c>
      <c r="AO8" s="118">
        <v>12</v>
      </c>
      <c r="AP8" s="118">
        <f t="shared" si="2"/>
        <v>36</v>
      </c>
      <c r="AQ8" s="119">
        <f t="shared" ref="AQ8:AQ13" si="5">AP8/24</f>
        <v>1.5</v>
      </c>
      <c r="AR8" s="118" t="s">
        <v>88</v>
      </c>
      <c r="AS8" s="118" t="s">
        <v>94</v>
      </c>
      <c r="AT8" s="118" t="s">
        <v>202</v>
      </c>
      <c r="AU8" s="118" t="s">
        <v>222</v>
      </c>
      <c r="AV8" s="118" t="s">
        <v>223</v>
      </c>
      <c r="AW8" s="118"/>
      <c r="AX8" s="118"/>
      <c r="AY8" s="134"/>
    </row>
    <row r="9" spans="1:51" ht="15.5">
      <c r="A9" s="104">
        <f t="shared" si="4"/>
        <v>8</v>
      </c>
      <c r="B9" s="124">
        <v>201323056</v>
      </c>
      <c r="C9" s="125" t="s">
        <v>52</v>
      </c>
      <c r="D9" s="118" t="s">
        <v>53</v>
      </c>
      <c r="E9" s="148">
        <v>45566</v>
      </c>
      <c r="F9" s="149">
        <v>45606</v>
      </c>
      <c r="G9" s="148">
        <v>45597</v>
      </c>
      <c r="H9" s="128">
        <v>45566</v>
      </c>
      <c r="I9" s="128"/>
      <c r="J9" s="128">
        <v>45576</v>
      </c>
      <c r="K9" s="128">
        <v>45597</v>
      </c>
      <c r="L9" s="129">
        <f t="shared" si="0"/>
        <v>31</v>
      </c>
      <c r="M9" s="118">
        <f t="shared" si="1"/>
        <v>21</v>
      </c>
      <c r="N9" s="118" t="s">
        <v>32</v>
      </c>
      <c r="O9" s="130">
        <v>3</v>
      </c>
      <c r="P9" s="118" t="s">
        <v>105</v>
      </c>
      <c r="Q9" s="118"/>
      <c r="R9" s="134"/>
      <c r="S9" s="124">
        <v>1.1999999999999999E-3</v>
      </c>
      <c r="T9" s="118"/>
      <c r="U9" s="118"/>
      <c r="V9" s="118"/>
      <c r="W9" s="131">
        <v>0</v>
      </c>
      <c r="X9" s="131">
        <v>0</v>
      </c>
      <c r="Y9" s="131">
        <v>0</v>
      </c>
      <c r="Z9" s="131">
        <v>0</v>
      </c>
      <c r="AA9" s="130">
        <v>26</v>
      </c>
      <c r="AB9" s="130">
        <v>1</v>
      </c>
      <c r="AC9" s="118" t="s">
        <v>200</v>
      </c>
      <c r="AD9" s="118">
        <v>1</v>
      </c>
      <c r="AE9" s="118" t="s">
        <v>224</v>
      </c>
      <c r="AF9" s="130">
        <v>2.87</v>
      </c>
      <c r="AG9" s="130">
        <v>36.700000000000003</v>
      </c>
      <c r="AH9" s="130">
        <v>72.2</v>
      </c>
      <c r="AI9" s="130">
        <v>4238</v>
      </c>
      <c r="AJ9" s="130">
        <v>89</v>
      </c>
      <c r="AK9" s="130">
        <v>39.4</v>
      </c>
      <c r="AL9" s="130">
        <v>0</v>
      </c>
      <c r="AM9" s="118" t="s">
        <v>198</v>
      </c>
      <c r="AN9" s="133">
        <v>4</v>
      </c>
      <c r="AO9" s="118">
        <v>12</v>
      </c>
      <c r="AP9" s="118">
        <f t="shared" si="2"/>
        <v>36</v>
      </c>
      <c r="AQ9" s="119">
        <f t="shared" si="5"/>
        <v>1.5</v>
      </c>
      <c r="AR9" s="118" t="s">
        <v>92</v>
      </c>
      <c r="AS9" s="118" t="s">
        <v>94</v>
      </c>
      <c r="AT9" s="118" t="s">
        <v>94</v>
      </c>
      <c r="AU9" s="118"/>
      <c r="AV9" s="118"/>
      <c r="AW9" s="118"/>
      <c r="AX9" s="118"/>
      <c r="AY9" s="134"/>
    </row>
    <row r="10" spans="1:51" ht="15.5">
      <c r="A10" s="104">
        <f t="shared" si="4"/>
        <v>9</v>
      </c>
      <c r="B10" s="124">
        <v>201264034</v>
      </c>
      <c r="C10" s="125" t="s">
        <v>10</v>
      </c>
      <c r="D10" s="118" t="s">
        <v>11</v>
      </c>
      <c r="E10" s="148">
        <v>44937</v>
      </c>
      <c r="F10" s="149">
        <v>45241</v>
      </c>
      <c r="G10" s="148">
        <v>45028</v>
      </c>
      <c r="H10" s="128">
        <v>45231</v>
      </c>
      <c r="I10" s="128">
        <v>45218</v>
      </c>
      <c r="J10" s="128">
        <v>45241</v>
      </c>
      <c r="K10" s="128">
        <v>45264</v>
      </c>
      <c r="L10" s="129">
        <f t="shared" si="0"/>
        <v>33</v>
      </c>
      <c r="M10" s="118">
        <f t="shared" si="1"/>
        <v>23</v>
      </c>
      <c r="N10" s="118" t="s">
        <v>9</v>
      </c>
      <c r="O10" s="130">
        <v>2</v>
      </c>
      <c r="P10" s="118" t="s">
        <v>83</v>
      </c>
      <c r="Q10" s="118" t="s">
        <v>225</v>
      </c>
      <c r="R10" s="118" t="s">
        <v>90</v>
      </c>
      <c r="S10" s="118"/>
      <c r="T10" s="118"/>
      <c r="U10" s="118"/>
      <c r="V10" s="118"/>
      <c r="W10" s="118"/>
      <c r="X10" s="118"/>
      <c r="Y10" s="118"/>
      <c r="Z10" s="118"/>
      <c r="AA10" s="130">
        <v>35</v>
      </c>
      <c r="AB10" s="130">
        <v>3</v>
      </c>
      <c r="AC10" s="118" t="s">
        <v>200</v>
      </c>
      <c r="AD10" s="118">
        <v>1</v>
      </c>
      <c r="AE10" s="118" t="s">
        <v>226</v>
      </c>
      <c r="AF10" s="130">
        <v>23</v>
      </c>
      <c r="AG10" s="130">
        <v>10</v>
      </c>
      <c r="AH10" s="130">
        <v>154</v>
      </c>
      <c r="AI10" s="130">
        <v>5820</v>
      </c>
      <c r="AJ10" s="130">
        <v>96</v>
      </c>
      <c r="AK10" s="130">
        <v>40.5</v>
      </c>
      <c r="AL10" s="130">
        <v>1</v>
      </c>
      <c r="AM10" s="118" t="s">
        <v>198</v>
      </c>
      <c r="AN10" s="133">
        <v>17</v>
      </c>
      <c r="AO10" s="118">
        <v>24</v>
      </c>
      <c r="AP10" s="118">
        <f t="shared" si="2"/>
        <v>48</v>
      </c>
      <c r="AQ10" s="119">
        <f t="shared" si="5"/>
        <v>2</v>
      </c>
      <c r="AR10" s="118" t="s">
        <v>88</v>
      </c>
      <c r="AS10" s="118" t="s">
        <v>153</v>
      </c>
      <c r="AT10" s="118" t="s">
        <v>202</v>
      </c>
      <c r="AU10" s="118"/>
      <c r="AV10" s="118" t="s">
        <v>227</v>
      </c>
      <c r="AW10" s="118"/>
      <c r="AX10" s="118"/>
      <c r="AY10" s="134"/>
    </row>
    <row r="11" spans="1:51" ht="15.5">
      <c r="A11" s="104">
        <f t="shared" si="4"/>
        <v>10</v>
      </c>
      <c r="B11" s="105">
        <v>201285157</v>
      </c>
      <c r="C11" s="144" t="s">
        <v>13</v>
      </c>
      <c r="D11" s="107" t="s">
        <v>14</v>
      </c>
      <c r="E11" s="108">
        <v>45323</v>
      </c>
      <c r="F11" s="122">
        <v>45627</v>
      </c>
      <c r="G11" s="108">
        <v>45414</v>
      </c>
      <c r="H11" s="111">
        <v>45293</v>
      </c>
      <c r="I11" s="111">
        <v>45285</v>
      </c>
      <c r="J11" s="111">
        <v>45303</v>
      </c>
      <c r="K11" s="111">
        <v>45327</v>
      </c>
      <c r="L11" s="112">
        <f t="shared" si="0"/>
        <v>34</v>
      </c>
      <c r="M11" s="107">
        <f t="shared" si="1"/>
        <v>24</v>
      </c>
      <c r="N11" s="107" t="s">
        <v>9</v>
      </c>
      <c r="O11" s="113">
        <v>4</v>
      </c>
      <c r="P11" s="107" t="s">
        <v>93</v>
      </c>
      <c r="Q11" s="107" t="s">
        <v>98</v>
      </c>
      <c r="R11" s="107" t="s">
        <v>98</v>
      </c>
      <c r="S11" s="107"/>
      <c r="T11" s="107"/>
      <c r="U11" s="107"/>
      <c r="V11" s="107"/>
      <c r="W11" s="107"/>
      <c r="X11" s="107"/>
      <c r="Y11" s="107"/>
      <c r="Z11" s="107"/>
      <c r="AA11" s="113">
        <v>55</v>
      </c>
      <c r="AB11" s="115">
        <v>1</v>
      </c>
      <c r="AC11" s="107" t="s">
        <v>206</v>
      </c>
      <c r="AD11" s="107">
        <v>5</v>
      </c>
      <c r="AE11" s="107" t="s">
        <v>207</v>
      </c>
      <c r="AF11" s="113">
        <v>3</v>
      </c>
      <c r="AG11" s="113">
        <v>17</v>
      </c>
      <c r="AH11" s="113">
        <v>66</v>
      </c>
      <c r="AI11" s="115">
        <v>937</v>
      </c>
      <c r="AJ11" s="113">
        <v>188</v>
      </c>
      <c r="AK11" s="113">
        <v>38.9</v>
      </c>
      <c r="AL11" s="113">
        <v>0</v>
      </c>
      <c r="AM11" s="107" t="s">
        <v>198</v>
      </c>
      <c r="AN11" s="116">
        <v>3</v>
      </c>
      <c r="AO11" s="117">
        <v>36</v>
      </c>
      <c r="AP11" s="118">
        <f t="shared" si="2"/>
        <v>156</v>
      </c>
      <c r="AQ11" s="119">
        <f t="shared" si="5"/>
        <v>6.5</v>
      </c>
      <c r="AR11" s="107" t="s">
        <v>92</v>
      </c>
      <c r="AS11" s="107" t="s">
        <v>94</v>
      </c>
      <c r="AT11" s="107" t="s">
        <v>94</v>
      </c>
      <c r="AU11" s="107"/>
      <c r="AV11" s="107"/>
      <c r="AW11" s="107"/>
      <c r="AX11" s="107"/>
      <c r="AY11" s="120"/>
    </row>
    <row r="12" spans="1:51" ht="15.5">
      <c r="A12" s="104">
        <f t="shared" si="4"/>
        <v>11</v>
      </c>
      <c r="B12" s="105">
        <v>201313119</v>
      </c>
      <c r="C12" s="106" t="s">
        <v>15</v>
      </c>
      <c r="D12" s="107" t="s">
        <v>16</v>
      </c>
      <c r="E12" s="110" t="s">
        <v>228</v>
      </c>
      <c r="F12" s="150">
        <v>45385</v>
      </c>
      <c r="G12" s="110" t="s">
        <v>229</v>
      </c>
      <c r="H12" s="111">
        <v>45376</v>
      </c>
      <c r="I12" s="111">
        <v>45370</v>
      </c>
      <c r="J12" s="111">
        <v>45385</v>
      </c>
      <c r="K12" s="111">
        <v>45406</v>
      </c>
      <c r="L12" s="112">
        <f t="shared" si="0"/>
        <v>30</v>
      </c>
      <c r="M12" s="107">
        <f t="shared" si="1"/>
        <v>21</v>
      </c>
      <c r="N12" s="107" t="s">
        <v>9</v>
      </c>
      <c r="O12" s="113">
        <v>2</v>
      </c>
      <c r="P12" s="107" t="s">
        <v>93</v>
      </c>
      <c r="Q12" s="107" t="s">
        <v>96</v>
      </c>
      <c r="R12" s="107" t="s">
        <v>96</v>
      </c>
      <c r="S12" s="107"/>
      <c r="T12" s="107"/>
      <c r="U12" s="107"/>
      <c r="V12" s="107"/>
      <c r="W12" s="107"/>
      <c r="X12" s="107"/>
      <c r="Y12" s="107"/>
      <c r="Z12" s="107"/>
      <c r="AA12" s="113">
        <v>32</v>
      </c>
      <c r="AB12" s="115">
        <v>1</v>
      </c>
      <c r="AC12" s="107" t="s">
        <v>200</v>
      </c>
      <c r="AD12" s="107">
        <v>1</v>
      </c>
      <c r="AE12" s="107" t="s">
        <v>201</v>
      </c>
      <c r="AF12" s="113">
        <v>2</v>
      </c>
      <c r="AG12" s="113">
        <v>10</v>
      </c>
      <c r="AH12" s="107"/>
      <c r="AI12" s="115">
        <v>25</v>
      </c>
      <c r="AJ12" s="113">
        <v>5.3</v>
      </c>
      <c r="AK12" s="113">
        <v>38.299999999999997</v>
      </c>
      <c r="AL12" s="113">
        <v>0</v>
      </c>
      <c r="AM12" s="107" t="s">
        <v>92</v>
      </c>
      <c r="AN12" s="116"/>
      <c r="AO12" s="117"/>
      <c r="AP12" s="118">
        <f t="shared" si="2"/>
        <v>24</v>
      </c>
      <c r="AQ12" s="119">
        <f t="shared" si="5"/>
        <v>1</v>
      </c>
      <c r="AR12" s="107" t="s">
        <v>92</v>
      </c>
      <c r="AS12" s="107" t="s">
        <v>94</v>
      </c>
      <c r="AT12" s="107" t="s">
        <v>94</v>
      </c>
      <c r="AU12" s="107"/>
      <c r="AV12" s="107"/>
      <c r="AW12" s="107"/>
      <c r="AX12" s="107"/>
      <c r="AY12" s="120"/>
    </row>
    <row r="13" spans="1:51" ht="15.5">
      <c r="A13" s="104">
        <f t="shared" si="4"/>
        <v>12</v>
      </c>
      <c r="B13" s="135">
        <v>201332220</v>
      </c>
      <c r="C13" s="144" t="s">
        <v>17</v>
      </c>
      <c r="D13" s="151" t="s">
        <v>18</v>
      </c>
      <c r="E13" s="151" t="s">
        <v>230</v>
      </c>
      <c r="F13" s="123" t="s">
        <v>231</v>
      </c>
      <c r="G13" s="152">
        <v>45632</v>
      </c>
      <c r="H13" s="153">
        <v>45414</v>
      </c>
      <c r="I13" s="153">
        <v>45414</v>
      </c>
      <c r="J13" s="153">
        <v>45434</v>
      </c>
      <c r="K13" s="153">
        <v>45455</v>
      </c>
      <c r="L13" s="112">
        <f t="shared" si="0"/>
        <v>41</v>
      </c>
      <c r="M13" s="107">
        <f t="shared" si="1"/>
        <v>21</v>
      </c>
      <c r="N13" s="107" t="s">
        <v>9</v>
      </c>
      <c r="O13" s="107" t="s">
        <v>232</v>
      </c>
      <c r="P13" s="107" t="s">
        <v>93</v>
      </c>
      <c r="Q13" s="107" t="s">
        <v>98</v>
      </c>
      <c r="R13" s="107" t="s">
        <v>98</v>
      </c>
      <c r="S13" s="107"/>
      <c r="T13" s="107"/>
      <c r="U13" s="107"/>
      <c r="V13" s="107"/>
      <c r="W13" s="107"/>
      <c r="X13" s="107"/>
      <c r="Y13" s="107"/>
      <c r="Z13" s="107"/>
      <c r="AA13" s="113">
        <v>38</v>
      </c>
      <c r="AB13" s="115">
        <v>1</v>
      </c>
      <c r="AC13" s="107" t="s">
        <v>200</v>
      </c>
      <c r="AD13" s="107">
        <v>1</v>
      </c>
      <c r="AE13" s="107" t="s">
        <v>201</v>
      </c>
      <c r="AF13" s="107" t="s">
        <v>197</v>
      </c>
      <c r="AG13" s="113">
        <v>32</v>
      </c>
      <c r="AH13" s="136"/>
      <c r="AI13" s="115">
        <v>32</v>
      </c>
      <c r="AJ13" s="113">
        <v>9</v>
      </c>
      <c r="AK13" s="113">
        <v>38</v>
      </c>
      <c r="AL13" s="113">
        <v>0</v>
      </c>
      <c r="AM13" s="107" t="s">
        <v>92</v>
      </c>
      <c r="AN13" s="116"/>
      <c r="AO13" s="117"/>
      <c r="AP13" s="118">
        <f t="shared" si="2"/>
        <v>24</v>
      </c>
      <c r="AQ13" s="119">
        <f t="shared" si="5"/>
        <v>1</v>
      </c>
      <c r="AR13" s="107" t="s">
        <v>92</v>
      </c>
      <c r="AS13" s="136" t="s">
        <v>94</v>
      </c>
      <c r="AT13" s="136" t="s">
        <v>94</v>
      </c>
      <c r="AU13" s="136"/>
      <c r="AV13" s="136"/>
      <c r="AW13" s="136"/>
      <c r="AX13" s="136"/>
      <c r="AY13" s="143"/>
    </row>
    <row r="14" spans="1:51" ht="15.5">
      <c r="A14" s="104">
        <f t="shared" si="4"/>
        <v>13</v>
      </c>
      <c r="B14" s="135">
        <v>201360604</v>
      </c>
      <c r="C14" s="106" t="s">
        <v>20</v>
      </c>
      <c r="D14" s="136" t="s">
        <v>21</v>
      </c>
      <c r="E14" s="137" t="s">
        <v>233</v>
      </c>
      <c r="F14" s="122">
        <v>45298</v>
      </c>
      <c r="G14" s="137" t="s">
        <v>234</v>
      </c>
      <c r="H14" s="138">
        <v>45464</v>
      </c>
      <c r="I14" s="138">
        <v>45454</v>
      </c>
      <c r="J14" s="138">
        <v>45474</v>
      </c>
      <c r="K14" s="138">
        <v>45495</v>
      </c>
      <c r="L14" s="139">
        <f t="shared" si="0"/>
        <v>31</v>
      </c>
      <c r="M14" s="107">
        <f t="shared" si="1"/>
        <v>21</v>
      </c>
      <c r="N14" s="136" t="s">
        <v>9</v>
      </c>
      <c r="O14" s="140">
        <v>3</v>
      </c>
      <c r="P14" s="136" t="s">
        <v>83</v>
      </c>
      <c r="Q14" s="136" t="s">
        <v>100</v>
      </c>
      <c r="R14" s="136" t="s">
        <v>101</v>
      </c>
      <c r="S14" s="136"/>
      <c r="T14" s="136"/>
      <c r="U14" s="136"/>
      <c r="V14" s="136"/>
      <c r="W14" s="136"/>
      <c r="X14" s="136"/>
      <c r="Y14" s="136"/>
      <c r="Z14" s="136"/>
      <c r="AA14" s="140">
        <v>40</v>
      </c>
      <c r="AB14" s="115">
        <v>0</v>
      </c>
      <c r="AC14" s="136"/>
      <c r="AD14" s="136"/>
      <c r="AE14" s="136"/>
      <c r="AF14" s="140">
        <v>1.83</v>
      </c>
      <c r="AG14" s="136"/>
      <c r="AH14" s="136"/>
      <c r="AI14" s="115">
        <v>13.6</v>
      </c>
      <c r="AJ14" s="136"/>
      <c r="AK14" s="136"/>
      <c r="AL14" s="140">
        <v>0</v>
      </c>
      <c r="AM14" s="136" t="s">
        <v>92</v>
      </c>
      <c r="AN14" s="142"/>
      <c r="AO14" s="117"/>
      <c r="AP14" s="118">
        <f t="shared" si="2"/>
        <v>0</v>
      </c>
      <c r="AQ14" s="119"/>
      <c r="AR14" s="136" t="s">
        <v>92</v>
      </c>
      <c r="AS14" s="136" t="s">
        <v>94</v>
      </c>
      <c r="AT14" s="136" t="s">
        <v>94</v>
      </c>
      <c r="AU14" s="136"/>
      <c r="AV14" s="136"/>
      <c r="AW14" s="136"/>
      <c r="AX14" s="136"/>
      <c r="AY14" s="143"/>
    </row>
    <row r="15" spans="1:51" ht="15.5">
      <c r="A15" s="104">
        <f t="shared" si="4"/>
        <v>14</v>
      </c>
      <c r="B15" s="135">
        <v>201059250</v>
      </c>
      <c r="C15" s="144" t="s">
        <v>23</v>
      </c>
      <c r="D15" s="107" t="s">
        <v>24</v>
      </c>
      <c r="E15" s="110" t="s">
        <v>235</v>
      </c>
      <c r="F15" s="123" t="s">
        <v>236</v>
      </c>
      <c r="G15" s="110" t="s">
        <v>237</v>
      </c>
      <c r="H15" s="111">
        <v>45488</v>
      </c>
      <c r="I15" s="138">
        <v>45470</v>
      </c>
      <c r="J15" s="111">
        <v>45497</v>
      </c>
      <c r="K15" s="111">
        <v>45518</v>
      </c>
      <c r="L15" s="112">
        <f t="shared" si="0"/>
        <v>30</v>
      </c>
      <c r="M15" s="107">
        <f t="shared" si="1"/>
        <v>21</v>
      </c>
      <c r="N15" s="107" t="s">
        <v>9</v>
      </c>
      <c r="O15" s="113">
        <v>5</v>
      </c>
      <c r="P15" s="107" t="s">
        <v>83</v>
      </c>
      <c r="Q15" s="107" t="s">
        <v>103</v>
      </c>
      <c r="R15" s="107"/>
      <c r="S15" s="136"/>
      <c r="T15" s="136"/>
      <c r="U15" s="136"/>
      <c r="V15" s="136"/>
      <c r="W15" s="136"/>
      <c r="X15" s="136"/>
      <c r="Y15" s="136"/>
      <c r="Z15" s="136"/>
      <c r="AA15" s="140">
        <v>45</v>
      </c>
      <c r="AB15" s="115">
        <v>1</v>
      </c>
      <c r="AC15" s="136" t="s">
        <v>200</v>
      </c>
      <c r="AD15" s="136">
        <v>1</v>
      </c>
      <c r="AE15" s="136" t="s">
        <v>238</v>
      </c>
      <c r="AF15" s="107" t="s">
        <v>197</v>
      </c>
      <c r="AG15" s="140">
        <v>19.3</v>
      </c>
      <c r="AH15" s="136"/>
      <c r="AI15" s="115">
        <v>30.1</v>
      </c>
      <c r="AJ15" s="140">
        <v>1.56</v>
      </c>
      <c r="AK15" s="140">
        <v>38.799999999999997</v>
      </c>
      <c r="AL15" s="140">
        <v>0</v>
      </c>
      <c r="AM15" s="136" t="s">
        <v>92</v>
      </c>
      <c r="AN15" s="142"/>
      <c r="AO15" s="117"/>
      <c r="AP15" s="118">
        <f t="shared" si="2"/>
        <v>24</v>
      </c>
      <c r="AQ15" s="119">
        <f t="shared" ref="AQ15:AQ17" si="6">AP15/24</f>
        <v>1</v>
      </c>
      <c r="AR15" s="107" t="s">
        <v>92</v>
      </c>
      <c r="AS15" s="136" t="s">
        <v>94</v>
      </c>
      <c r="AT15" s="136" t="s">
        <v>94</v>
      </c>
      <c r="AU15" s="136"/>
      <c r="AV15" s="136"/>
      <c r="AW15" s="136"/>
      <c r="AX15" s="136"/>
      <c r="AY15" s="143"/>
    </row>
    <row r="16" spans="1:51" ht="15.5">
      <c r="A16" s="104">
        <f t="shared" si="4"/>
        <v>15</v>
      </c>
      <c r="B16" s="154">
        <v>201162896</v>
      </c>
      <c r="C16" s="155" t="s">
        <v>26</v>
      </c>
      <c r="D16" s="156" t="s">
        <v>27</v>
      </c>
      <c r="E16" s="157">
        <v>45452</v>
      </c>
      <c r="F16" s="158" t="s">
        <v>239</v>
      </c>
      <c r="G16" s="157">
        <v>45545</v>
      </c>
      <c r="H16" s="159">
        <v>45541</v>
      </c>
      <c r="I16" s="159">
        <v>45531</v>
      </c>
      <c r="J16" s="159">
        <v>45553</v>
      </c>
      <c r="K16" s="159">
        <v>45574</v>
      </c>
      <c r="L16" s="160">
        <f t="shared" si="0"/>
        <v>33</v>
      </c>
      <c r="M16" s="156">
        <f t="shared" si="1"/>
        <v>21</v>
      </c>
      <c r="N16" s="156" t="s">
        <v>9</v>
      </c>
      <c r="O16" s="161">
        <v>2</v>
      </c>
      <c r="P16" s="156" t="s">
        <v>105</v>
      </c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61">
        <v>50</v>
      </c>
      <c r="AB16" s="161">
        <v>1</v>
      </c>
      <c r="AC16" s="156" t="s">
        <v>200</v>
      </c>
      <c r="AD16" s="156">
        <v>1</v>
      </c>
      <c r="AE16" s="156" t="s">
        <v>212</v>
      </c>
      <c r="AF16" s="161">
        <v>4.54</v>
      </c>
      <c r="AG16" s="161">
        <v>30.5</v>
      </c>
      <c r="AH16" s="161">
        <v>54.2</v>
      </c>
      <c r="AI16" s="161">
        <v>1721</v>
      </c>
      <c r="AJ16" s="161">
        <v>59.7</v>
      </c>
      <c r="AK16" s="161">
        <v>40.200000000000003</v>
      </c>
      <c r="AL16" s="161">
        <v>0</v>
      </c>
      <c r="AM16" s="156" t="s">
        <v>88</v>
      </c>
      <c r="AN16" s="162">
        <v>3</v>
      </c>
      <c r="AO16" s="156">
        <v>24</v>
      </c>
      <c r="AP16" s="118">
        <f t="shared" si="2"/>
        <v>48</v>
      </c>
      <c r="AQ16" s="119">
        <f t="shared" si="6"/>
        <v>2</v>
      </c>
      <c r="AR16" s="156" t="s">
        <v>92</v>
      </c>
      <c r="AS16" s="156" t="s">
        <v>94</v>
      </c>
      <c r="AT16" s="156" t="s">
        <v>94</v>
      </c>
      <c r="AU16" s="156"/>
      <c r="AV16" s="156"/>
      <c r="AW16" s="156"/>
      <c r="AX16" s="156"/>
      <c r="AY16" s="163"/>
    </row>
    <row r="17" spans="1:51" ht="15.5">
      <c r="A17" s="104">
        <f t="shared" si="4"/>
        <v>16</v>
      </c>
      <c r="B17" s="135">
        <v>201449348</v>
      </c>
      <c r="C17" s="144" t="s">
        <v>29</v>
      </c>
      <c r="D17" s="107" t="s">
        <v>30</v>
      </c>
      <c r="E17" s="145">
        <v>45597</v>
      </c>
      <c r="F17" s="123" t="s">
        <v>240</v>
      </c>
      <c r="G17" s="145">
        <v>45630</v>
      </c>
      <c r="H17" s="138">
        <v>45597</v>
      </c>
      <c r="I17" s="138"/>
      <c r="J17" s="138">
        <v>45609</v>
      </c>
      <c r="K17" s="138">
        <v>45630</v>
      </c>
      <c r="L17" s="112">
        <f t="shared" si="0"/>
        <v>33</v>
      </c>
      <c r="M17" s="107">
        <f t="shared" si="1"/>
        <v>21</v>
      </c>
      <c r="N17" s="107" t="s">
        <v>9</v>
      </c>
      <c r="O17" s="140">
        <v>2</v>
      </c>
      <c r="P17" s="136" t="s">
        <v>93</v>
      </c>
      <c r="Q17" s="136" t="s">
        <v>107</v>
      </c>
      <c r="R17" s="164" t="s">
        <v>108</v>
      </c>
      <c r="S17" s="136"/>
      <c r="T17" s="136"/>
      <c r="U17" s="136"/>
      <c r="V17" s="136"/>
      <c r="W17" s="136"/>
      <c r="X17" s="136"/>
      <c r="Y17" s="136"/>
      <c r="Z17" s="136"/>
      <c r="AA17" s="140">
        <v>42</v>
      </c>
      <c r="AB17" s="115">
        <v>1</v>
      </c>
      <c r="AC17" s="136" t="s">
        <v>200</v>
      </c>
      <c r="AD17" s="136">
        <v>1</v>
      </c>
      <c r="AE17" s="136" t="s">
        <v>224</v>
      </c>
      <c r="AF17" s="140">
        <v>1.79</v>
      </c>
      <c r="AG17" s="140">
        <v>15.9</v>
      </c>
      <c r="AH17" s="136"/>
      <c r="AI17" s="115">
        <v>38.6</v>
      </c>
      <c r="AJ17" s="140">
        <v>3.02</v>
      </c>
      <c r="AK17" s="140">
        <v>39.799999999999997</v>
      </c>
      <c r="AL17" s="140">
        <v>0</v>
      </c>
      <c r="AM17" s="136" t="s">
        <v>92</v>
      </c>
      <c r="AN17" s="142"/>
      <c r="AO17" s="117"/>
      <c r="AP17" s="118">
        <f t="shared" si="2"/>
        <v>24</v>
      </c>
      <c r="AQ17" s="119">
        <f t="shared" si="6"/>
        <v>1</v>
      </c>
      <c r="AR17" s="107" t="s">
        <v>92</v>
      </c>
      <c r="AS17" s="136"/>
      <c r="AT17" s="136" t="s">
        <v>94</v>
      </c>
      <c r="AU17" s="136"/>
      <c r="AV17" s="136"/>
      <c r="AW17" s="136"/>
      <c r="AX17" s="136"/>
      <c r="AY17" s="143"/>
    </row>
    <row r="18" spans="1:51">
      <c r="A18" s="15"/>
      <c r="B18" s="15"/>
      <c r="C18" s="13"/>
      <c r="D18" s="15"/>
      <c r="E18" s="15"/>
      <c r="F18" s="15"/>
      <c r="G18" s="15"/>
      <c r="H18" s="15"/>
      <c r="I18" s="15"/>
      <c r="J18" s="15"/>
      <c r="K18" s="15"/>
      <c r="L18" s="165">
        <f>AVERAGE(L2:L9)</f>
        <v>42.875</v>
      </c>
      <c r="M18" s="107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66"/>
      <c r="AJ18" s="15"/>
      <c r="AK18" s="15"/>
      <c r="AL18" s="167"/>
      <c r="AM18" s="15"/>
      <c r="AN18" s="168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 spans="1:51">
      <c r="A19" s="143"/>
      <c r="B19" s="143"/>
      <c r="C19" s="13"/>
      <c r="D19" s="143"/>
      <c r="E19" s="169"/>
      <c r="F19" s="169"/>
      <c r="G19" s="169"/>
      <c r="H19" s="169"/>
      <c r="I19" s="169"/>
      <c r="J19" s="169"/>
      <c r="K19" s="169"/>
      <c r="L19" s="170">
        <f>MIN(L2:L9)</f>
        <v>31</v>
      </c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71"/>
      <c r="AJ19" s="143"/>
      <c r="AK19" s="143"/>
      <c r="AL19" s="172"/>
      <c r="AM19" s="143"/>
      <c r="AN19" s="168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</row>
    <row r="20" spans="1:51" ht="15">
      <c r="A20" s="143"/>
      <c r="B20" s="143"/>
      <c r="C20" s="13"/>
      <c r="D20" s="143"/>
      <c r="E20" s="169"/>
      <c r="F20" s="169"/>
      <c r="G20" s="169"/>
      <c r="H20" s="169"/>
      <c r="I20" s="169"/>
      <c r="J20" s="169"/>
      <c r="K20" s="169"/>
      <c r="L20" s="170">
        <f>MAX(L2:L9)</f>
        <v>74</v>
      </c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9" t="s">
        <v>56</v>
      </c>
      <c r="AB20" s="19" t="s">
        <v>4</v>
      </c>
      <c r="AC20" s="173" t="s">
        <v>5</v>
      </c>
      <c r="AD20" s="173"/>
      <c r="AE20" s="174" t="s">
        <v>180</v>
      </c>
      <c r="AF20" s="143"/>
      <c r="AG20" s="143"/>
      <c r="AH20" s="143"/>
      <c r="AI20" s="171"/>
      <c r="AJ20" s="143"/>
      <c r="AK20" s="143"/>
      <c r="AL20" s="172"/>
      <c r="AM20" s="143"/>
      <c r="AN20" s="168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</row>
    <row r="21" spans="1:51" ht="15.5">
      <c r="A21" s="143"/>
      <c r="B21" s="143"/>
      <c r="C21" s="13"/>
      <c r="D21" s="143"/>
      <c r="E21" s="13"/>
      <c r="F21" s="13"/>
      <c r="G21" s="85"/>
      <c r="H21" s="169"/>
      <c r="I21" s="169"/>
      <c r="J21" s="169"/>
      <c r="K21" s="169"/>
      <c r="L21" s="169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06" t="s">
        <v>10</v>
      </c>
      <c r="AB21" s="8" t="s">
        <v>11</v>
      </c>
      <c r="AC21" s="174" t="s">
        <v>9</v>
      </c>
      <c r="AD21" s="174"/>
      <c r="AE21" s="175">
        <v>5820</v>
      </c>
      <c r="AF21" s="143"/>
      <c r="AG21" s="143"/>
      <c r="AH21" s="143"/>
      <c r="AI21" s="143"/>
      <c r="AJ21" s="143"/>
      <c r="AK21" s="143"/>
      <c r="AL21" s="172"/>
      <c r="AM21" s="143"/>
      <c r="AN21" s="176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</row>
    <row r="22" spans="1:51" ht="15.5">
      <c r="A22" s="143"/>
      <c r="B22" s="143"/>
      <c r="C22" s="13"/>
      <c r="D22" s="143"/>
      <c r="E22" s="13"/>
      <c r="F22" s="13"/>
      <c r="G22" s="85"/>
      <c r="H22" s="169"/>
      <c r="I22" s="169"/>
      <c r="J22" s="169"/>
      <c r="K22" s="169"/>
      <c r="L22" s="169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4" t="s">
        <v>13</v>
      </c>
      <c r="AB22" s="8" t="s">
        <v>14</v>
      </c>
      <c r="AC22" s="174" t="s">
        <v>9</v>
      </c>
      <c r="AD22" s="174"/>
      <c r="AE22" s="175">
        <v>937</v>
      </c>
      <c r="AF22" s="143"/>
      <c r="AG22" s="143"/>
      <c r="AH22" s="143"/>
      <c r="AI22" s="143"/>
      <c r="AJ22" s="143"/>
      <c r="AK22" s="143"/>
      <c r="AL22" s="172"/>
      <c r="AM22" s="143"/>
      <c r="AN22" s="176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</row>
    <row r="23" spans="1:51" ht="15.5">
      <c r="A23" s="143"/>
      <c r="B23" s="143"/>
      <c r="C23" s="13"/>
      <c r="D23" s="143"/>
      <c r="E23" s="13"/>
      <c r="F23" s="13"/>
      <c r="G23" s="85"/>
      <c r="H23" s="169"/>
      <c r="I23" s="169"/>
      <c r="J23" s="169"/>
      <c r="K23" s="169"/>
      <c r="L23" s="169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06" t="s">
        <v>15</v>
      </c>
      <c r="AB23" s="8" t="s">
        <v>16</v>
      </c>
      <c r="AC23" s="174" t="s">
        <v>9</v>
      </c>
      <c r="AD23" s="174"/>
      <c r="AE23" s="175">
        <v>25</v>
      </c>
      <c r="AF23" s="143"/>
      <c r="AG23" s="143"/>
      <c r="AH23" s="143"/>
      <c r="AI23" s="143"/>
      <c r="AJ23" s="143"/>
      <c r="AK23" s="143"/>
      <c r="AL23" s="172"/>
      <c r="AM23" s="143"/>
      <c r="AN23" s="176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</row>
    <row r="24" spans="1:51" ht="15.5">
      <c r="A24" s="143"/>
      <c r="B24" s="143"/>
      <c r="C24" s="13"/>
      <c r="D24" s="143"/>
      <c r="E24" s="13"/>
      <c r="F24" s="13"/>
      <c r="G24" s="85"/>
      <c r="H24" s="169"/>
      <c r="I24" s="169"/>
      <c r="J24" s="169"/>
      <c r="K24" s="169"/>
      <c r="L24" s="169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4" t="s">
        <v>17</v>
      </c>
      <c r="AB24" s="8" t="s">
        <v>18</v>
      </c>
      <c r="AC24" s="174" t="s">
        <v>9</v>
      </c>
      <c r="AD24" s="174"/>
      <c r="AE24" s="175">
        <v>32</v>
      </c>
      <c r="AF24" s="143"/>
      <c r="AG24" s="143"/>
      <c r="AH24" s="143"/>
      <c r="AI24" s="143"/>
      <c r="AJ24" s="143"/>
      <c r="AK24" s="143"/>
      <c r="AL24" s="172"/>
      <c r="AM24" s="143"/>
      <c r="AN24" s="176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</row>
    <row r="25" spans="1:51" ht="15.5">
      <c r="A25" s="143"/>
      <c r="B25" s="143"/>
      <c r="C25" s="13"/>
      <c r="D25" s="143"/>
      <c r="E25" s="13"/>
      <c r="F25" s="13"/>
      <c r="G25" s="85"/>
      <c r="H25" s="169"/>
      <c r="I25" s="169"/>
      <c r="J25" s="169"/>
      <c r="K25" s="169"/>
      <c r="L25" s="169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06" t="s">
        <v>20</v>
      </c>
      <c r="AB25" s="8" t="s">
        <v>21</v>
      </c>
      <c r="AC25" s="174" t="s">
        <v>9</v>
      </c>
      <c r="AD25" s="174"/>
      <c r="AE25" s="175">
        <v>13.6</v>
      </c>
      <c r="AF25" s="143"/>
      <c r="AG25" s="143"/>
      <c r="AH25" s="143"/>
      <c r="AI25" s="143"/>
      <c r="AJ25" s="143"/>
      <c r="AK25" s="143"/>
      <c r="AL25" s="172"/>
      <c r="AM25" s="143"/>
      <c r="AN25" s="176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</row>
    <row r="26" spans="1:51" ht="15.5">
      <c r="A26" s="143"/>
      <c r="B26" s="143"/>
      <c r="C26" s="13"/>
      <c r="D26" s="143"/>
      <c r="E26" s="13"/>
      <c r="F26" s="13"/>
      <c r="G26" s="85"/>
      <c r="H26" s="169"/>
      <c r="I26" s="169"/>
      <c r="J26" s="169"/>
      <c r="K26" s="169"/>
      <c r="L26" s="169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4" t="s">
        <v>23</v>
      </c>
      <c r="AB26" s="8" t="s">
        <v>24</v>
      </c>
      <c r="AC26" s="174" t="s">
        <v>9</v>
      </c>
      <c r="AD26" s="174"/>
      <c r="AE26" s="175">
        <v>30.1</v>
      </c>
      <c r="AF26" s="143"/>
      <c r="AG26" s="143"/>
      <c r="AH26" s="143"/>
      <c r="AI26" s="143"/>
      <c r="AJ26" s="143"/>
      <c r="AK26" s="143"/>
      <c r="AL26" s="172"/>
      <c r="AM26" s="143"/>
      <c r="AN26" s="176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</row>
    <row r="27" spans="1:51" ht="15.5">
      <c r="A27" s="143"/>
      <c r="B27" s="143"/>
      <c r="C27" s="13"/>
      <c r="D27" s="143"/>
      <c r="E27" s="13"/>
      <c r="F27" s="13"/>
      <c r="G27" s="85"/>
      <c r="H27" s="169"/>
      <c r="I27" s="169"/>
      <c r="J27" s="169"/>
      <c r="K27" s="169"/>
      <c r="L27" s="169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06" t="s">
        <v>26</v>
      </c>
      <c r="AB27" s="8" t="s">
        <v>27</v>
      </c>
      <c r="AC27" s="174" t="s">
        <v>9</v>
      </c>
      <c r="AD27" s="174"/>
      <c r="AE27" s="175">
        <v>1721</v>
      </c>
      <c r="AF27" s="143"/>
      <c r="AG27" s="143"/>
      <c r="AH27" s="143"/>
      <c r="AI27" s="143"/>
      <c r="AJ27" s="143"/>
      <c r="AK27" s="143"/>
      <c r="AL27" s="172"/>
      <c r="AM27" s="143"/>
      <c r="AN27" s="176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</row>
    <row r="28" spans="1:51" ht="15.5">
      <c r="A28" s="143"/>
      <c r="B28" s="143"/>
      <c r="C28" s="13"/>
      <c r="D28" s="143"/>
      <c r="E28" s="13"/>
      <c r="F28" s="13"/>
      <c r="G28" s="85"/>
      <c r="H28" s="169"/>
      <c r="I28" s="169"/>
      <c r="J28" s="169"/>
      <c r="K28" s="169"/>
      <c r="L28" s="169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4" t="s">
        <v>29</v>
      </c>
      <c r="AB28" s="8" t="s">
        <v>30</v>
      </c>
      <c r="AC28" s="174" t="s">
        <v>9</v>
      </c>
      <c r="AD28" s="174"/>
      <c r="AE28" s="175">
        <v>38.6</v>
      </c>
      <c r="AF28" s="143"/>
      <c r="AG28" s="143"/>
      <c r="AH28" s="143"/>
      <c r="AI28" s="143"/>
      <c r="AJ28" s="143"/>
      <c r="AK28" s="143"/>
      <c r="AL28" s="172"/>
      <c r="AM28" s="143"/>
      <c r="AN28" s="176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</row>
    <row r="29" spans="1:51" ht="15.5">
      <c r="A29" s="143"/>
      <c r="B29" s="143"/>
      <c r="C29" s="13"/>
      <c r="D29" s="143"/>
      <c r="E29" s="13"/>
      <c r="F29" s="13"/>
      <c r="G29" s="85"/>
      <c r="H29" s="169"/>
      <c r="I29" s="169"/>
      <c r="J29" s="169"/>
      <c r="K29" s="169"/>
      <c r="L29" s="169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06" t="s">
        <v>33</v>
      </c>
      <c r="AB29" s="8" t="s">
        <v>34</v>
      </c>
      <c r="AC29" s="174" t="s">
        <v>32</v>
      </c>
      <c r="AD29" s="174"/>
      <c r="AE29" s="175">
        <v>109</v>
      </c>
      <c r="AF29" s="143"/>
      <c r="AG29" s="143"/>
      <c r="AH29" s="143"/>
      <c r="AI29" s="143"/>
      <c r="AJ29" s="143"/>
      <c r="AK29" s="143"/>
      <c r="AL29" s="172"/>
      <c r="AM29" s="143"/>
      <c r="AN29" s="176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</row>
    <row r="30" spans="1:51" ht="15.5">
      <c r="A30" s="143"/>
      <c r="B30" s="143"/>
      <c r="C30" s="13"/>
      <c r="D30" s="143"/>
      <c r="E30" s="13"/>
      <c r="F30" s="13"/>
      <c r="G30" s="85"/>
      <c r="H30" s="169"/>
      <c r="I30" s="169"/>
      <c r="J30" s="169"/>
      <c r="K30" s="169"/>
      <c r="L30" s="169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4" t="s">
        <v>36</v>
      </c>
      <c r="AB30" s="8" t="s">
        <v>37</v>
      </c>
      <c r="AC30" s="174" t="s">
        <v>32</v>
      </c>
      <c r="AD30" s="174"/>
      <c r="AE30" s="175">
        <v>28</v>
      </c>
      <c r="AF30" s="143"/>
      <c r="AG30" s="143"/>
      <c r="AH30" s="143"/>
      <c r="AI30" s="143"/>
      <c r="AJ30" s="143"/>
      <c r="AK30" s="143"/>
      <c r="AL30" s="172"/>
      <c r="AM30" s="143"/>
      <c r="AN30" s="176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</row>
    <row r="31" spans="1:51" ht="15.5">
      <c r="A31" s="143"/>
      <c r="B31" s="143"/>
      <c r="C31" s="13"/>
      <c r="D31" s="143"/>
      <c r="E31" s="13"/>
      <c r="F31" s="13"/>
      <c r="G31" s="85"/>
      <c r="H31" s="169"/>
      <c r="I31" s="169"/>
      <c r="J31" s="169"/>
      <c r="K31" s="169"/>
      <c r="L31" s="169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06" t="s">
        <v>38</v>
      </c>
      <c r="AB31" s="8" t="s">
        <v>39</v>
      </c>
      <c r="AC31" s="174" t="s">
        <v>32</v>
      </c>
      <c r="AD31" s="174"/>
      <c r="AE31" s="175">
        <v>474</v>
      </c>
      <c r="AF31" s="143"/>
      <c r="AG31" s="143"/>
      <c r="AH31" s="143"/>
      <c r="AI31" s="143"/>
      <c r="AJ31" s="143"/>
      <c r="AK31" s="143"/>
      <c r="AL31" s="172"/>
      <c r="AM31" s="143"/>
      <c r="AN31" s="176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</row>
    <row r="32" spans="1:51" ht="15.5">
      <c r="A32" s="143"/>
      <c r="B32" s="143"/>
      <c r="C32" s="13"/>
      <c r="D32" s="143"/>
      <c r="E32" s="13"/>
      <c r="F32" s="13"/>
      <c r="G32" s="85"/>
      <c r="H32" s="169"/>
      <c r="I32" s="169"/>
      <c r="J32" s="169"/>
      <c r="K32" s="169"/>
      <c r="L32" s="169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4" t="s">
        <v>41</v>
      </c>
      <c r="AB32" s="8" t="s">
        <v>42</v>
      </c>
      <c r="AC32" s="174" t="s">
        <v>32</v>
      </c>
      <c r="AD32" s="174"/>
      <c r="AE32" s="175">
        <v>6155</v>
      </c>
      <c r="AF32" s="143"/>
      <c r="AG32" s="143"/>
      <c r="AH32" s="143"/>
      <c r="AI32" s="143"/>
      <c r="AJ32" s="143"/>
      <c r="AK32" s="143"/>
      <c r="AL32" s="172"/>
      <c r="AM32" s="143"/>
      <c r="AN32" s="176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</row>
    <row r="33" spans="1:51" ht="15.5">
      <c r="A33" s="143"/>
      <c r="B33" s="143"/>
      <c r="C33" s="13"/>
      <c r="D33" s="143"/>
      <c r="E33" s="13"/>
      <c r="F33" s="13"/>
      <c r="G33" s="85"/>
      <c r="H33" s="169"/>
      <c r="I33" s="169"/>
      <c r="J33" s="169"/>
      <c r="K33" s="169"/>
      <c r="L33" s="169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06" t="s">
        <v>44</v>
      </c>
      <c r="AB33" s="8" t="s">
        <v>45</v>
      </c>
      <c r="AC33" s="174" t="s">
        <v>32</v>
      </c>
      <c r="AD33" s="174"/>
      <c r="AE33" s="175">
        <v>11</v>
      </c>
      <c r="AF33" s="143"/>
      <c r="AG33" s="143"/>
      <c r="AH33" s="143"/>
      <c r="AI33" s="143"/>
      <c r="AJ33" s="143"/>
      <c r="AK33" s="143"/>
      <c r="AL33" s="172"/>
      <c r="AM33" s="143"/>
      <c r="AN33" s="176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</row>
    <row r="34" spans="1:51" ht="15.5">
      <c r="A34" s="143"/>
      <c r="B34" s="143"/>
      <c r="C34" s="13"/>
      <c r="D34" s="143"/>
      <c r="E34" s="13"/>
      <c r="F34" s="13"/>
      <c r="G34" s="85"/>
      <c r="H34" s="169"/>
      <c r="I34" s="169"/>
      <c r="J34" s="169"/>
      <c r="K34" s="169"/>
      <c r="L34" s="169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4" t="s">
        <v>46</v>
      </c>
      <c r="AB34" s="8" t="s">
        <v>47</v>
      </c>
      <c r="AC34" s="174" t="s">
        <v>32</v>
      </c>
      <c r="AD34" s="174"/>
      <c r="AE34" s="175">
        <v>4</v>
      </c>
      <c r="AF34" s="143"/>
      <c r="AG34" s="143"/>
      <c r="AH34" s="143"/>
      <c r="AI34" s="143"/>
      <c r="AJ34" s="143"/>
      <c r="AK34" s="143"/>
      <c r="AL34" s="172"/>
      <c r="AM34" s="143"/>
      <c r="AN34" s="176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</row>
    <row r="35" spans="1:51" ht="15.5">
      <c r="A35" s="143"/>
      <c r="B35" s="143"/>
      <c r="C35" s="13"/>
      <c r="D35" s="143"/>
      <c r="E35" s="13"/>
      <c r="F35" s="13"/>
      <c r="G35" s="85"/>
      <c r="H35" s="169"/>
      <c r="I35" s="169"/>
      <c r="J35" s="169"/>
      <c r="K35" s="169"/>
      <c r="L35" s="169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06" t="s">
        <v>49</v>
      </c>
      <c r="AB35" s="8" t="s">
        <v>50</v>
      </c>
      <c r="AC35" s="174" t="s">
        <v>32</v>
      </c>
      <c r="AD35" s="174"/>
      <c r="AE35" s="175">
        <v>6785</v>
      </c>
      <c r="AF35" s="143"/>
      <c r="AG35" s="143"/>
      <c r="AH35" s="143"/>
      <c r="AI35" s="143"/>
      <c r="AJ35" s="143"/>
      <c r="AK35" s="143"/>
      <c r="AL35" s="172"/>
      <c r="AM35" s="143"/>
      <c r="AN35" s="176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</row>
    <row r="36" spans="1:51" ht="15.5">
      <c r="A36" s="143"/>
      <c r="B36" s="143"/>
      <c r="C36" s="13"/>
      <c r="D36" s="143"/>
      <c r="E36" s="13"/>
      <c r="F36" s="13"/>
      <c r="G36" s="85"/>
      <c r="H36" s="169"/>
      <c r="I36" s="169"/>
      <c r="J36" s="169"/>
      <c r="K36" s="169"/>
      <c r="L36" s="169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4" t="s">
        <v>52</v>
      </c>
      <c r="AB36" s="8" t="s">
        <v>53</v>
      </c>
      <c r="AC36" s="174" t="s">
        <v>32</v>
      </c>
      <c r="AD36" s="174"/>
      <c r="AE36" s="175">
        <v>4238</v>
      </c>
      <c r="AF36" s="143"/>
      <c r="AG36" s="143"/>
      <c r="AH36" s="143"/>
      <c r="AI36" s="143"/>
      <c r="AJ36" s="143"/>
      <c r="AK36" s="143"/>
      <c r="AL36" s="172"/>
      <c r="AM36" s="143"/>
      <c r="AN36" s="176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</row>
    <row r="37" spans="1:51">
      <c r="A37" s="143"/>
      <c r="B37" s="143"/>
      <c r="C37" s="13"/>
      <c r="D37" s="143"/>
      <c r="E37" s="169"/>
      <c r="F37" s="169"/>
      <c r="G37" s="169"/>
      <c r="H37" s="169"/>
      <c r="I37" s="169"/>
      <c r="J37" s="169"/>
      <c r="K37" s="169"/>
      <c r="L37" s="169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72"/>
      <c r="AM37" s="143"/>
      <c r="AN37" s="176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</row>
    <row r="38" spans="1:51">
      <c r="A38" s="143"/>
      <c r="B38" s="143"/>
      <c r="C38" s="13"/>
      <c r="D38" s="143"/>
      <c r="E38" s="169"/>
      <c r="F38" s="169"/>
      <c r="G38" s="169"/>
      <c r="H38" s="169"/>
      <c r="I38" s="169"/>
      <c r="J38" s="169"/>
      <c r="K38" s="169"/>
      <c r="L38" s="169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72"/>
      <c r="AM38" s="143"/>
      <c r="AN38" s="176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</row>
    <row r="39" spans="1:51">
      <c r="A39" s="143"/>
      <c r="B39" s="143"/>
      <c r="C39" s="13"/>
      <c r="D39" s="143"/>
      <c r="E39" s="169"/>
      <c r="F39" s="169"/>
      <c r="G39" s="169"/>
      <c r="H39" s="169"/>
      <c r="I39" s="169"/>
      <c r="J39" s="169"/>
      <c r="K39" s="169"/>
      <c r="L39" s="169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72"/>
      <c r="AM39" s="143"/>
      <c r="AN39" s="176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</row>
    <row r="40" spans="1:51">
      <c r="A40" s="143"/>
      <c r="B40" s="143"/>
      <c r="C40" s="13"/>
      <c r="D40" s="143"/>
      <c r="E40" s="169"/>
      <c r="F40" s="169"/>
      <c r="G40" s="169"/>
      <c r="H40" s="169"/>
      <c r="I40" s="169"/>
      <c r="J40" s="169"/>
      <c r="K40" s="169"/>
      <c r="L40" s="169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72"/>
      <c r="AM40" s="143"/>
      <c r="AN40" s="176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</row>
    <row r="41" spans="1:51">
      <c r="A41" s="143"/>
      <c r="B41" s="143"/>
      <c r="C41" s="13"/>
      <c r="D41" s="143"/>
      <c r="E41" s="169"/>
      <c r="F41" s="169"/>
      <c r="G41" s="169"/>
      <c r="H41" s="169"/>
      <c r="I41" s="169"/>
      <c r="J41" s="169"/>
      <c r="K41" s="169"/>
      <c r="L41" s="169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72"/>
      <c r="AM41" s="143"/>
      <c r="AN41" s="176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</row>
    <row r="42" spans="1:51">
      <c r="A42" s="143"/>
      <c r="B42" s="143"/>
      <c r="C42" s="13"/>
      <c r="D42" s="143"/>
      <c r="E42" s="169"/>
      <c r="F42" s="169"/>
      <c r="G42" s="169"/>
      <c r="H42" s="169"/>
      <c r="I42" s="169"/>
      <c r="J42" s="169"/>
      <c r="K42" s="169"/>
      <c r="L42" s="169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72"/>
      <c r="AM42" s="143"/>
      <c r="AN42" s="176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</row>
    <row r="43" spans="1:51">
      <c r="A43" s="143"/>
      <c r="B43" s="143"/>
      <c r="C43" s="13"/>
      <c r="D43" s="143"/>
      <c r="E43" s="169"/>
      <c r="F43" s="169"/>
      <c r="G43" s="169"/>
      <c r="H43" s="169"/>
      <c r="I43" s="169"/>
      <c r="J43" s="169"/>
      <c r="K43" s="169"/>
      <c r="L43" s="169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72"/>
      <c r="AM43" s="143"/>
      <c r="AN43" s="176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</row>
    <row r="44" spans="1:51">
      <c r="A44" s="143"/>
      <c r="B44" s="143"/>
      <c r="C44" s="13"/>
      <c r="D44" s="143"/>
      <c r="E44" s="169"/>
      <c r="F44" s="169"/>
      <c r="G44" s="169"/>
      <c r="H44" s="169"/>
      <c r="I44" s="169"/>
      <c r="J44" s="169"/>
      <c r="K44" s="169"/>
      <c r="L44" s="169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72"/>
      <c r="AM44" s="143"/>
      <c r="AN44" s="176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</row>
    <row r="45" spans="1:51">
      <c r="A45" s="143"/>
      <c r="B45" s="143"/>
      <c r="C45" s="13"/>
      <c r="D45" s="143"/>
      <c r="E45" s="169"/>
      <c r="F45" s="169"/>
      <c r="G45" s="169"/>
      <c r="H45" s="169"/>
      <c r="I45" s="169"/>
      <c r="J45" s="169"/>
      <c r="K45" s="169"/>
      <c r="L45" s="169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72"/>
      <c r="AM45" s="143"/>
      <c r="AN45" s="176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</row>
    <row r="46" spans="1:51">
      <c r="A46" s="143"/>
      <c r="B46" s="143"/>
      <c r="C46" s="13"/>
      <c r="D46" s="143"/>
      <c r="E46" s="169"/>
      <c r="F46" s="169"/>
      <c r="G46" s="169"/>
      <c r="H46" s="169"/>
      <c r="I46" s="169"/>
      <c r="J46" s="169"/>
      <c r="K46" s="169"/>
      <c r="L46" s="169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72"/>
      <c r="AM46" s="143"/>
      <c r="AN46" s="176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</row>
    <row r="47" spans="1:51">
      <c r="A47" s="143"/>
      <c r="B47" s="143"/>
      <c r="C47" s="13"/>
      <c r="D47" s="143"/>
      <c r="E47" s="169"/>
      <c r="F47" s="169"/>
      <c r="G47" s="169"/>
      <c r="H47" s="169"/>
      <c r="I47" s="169"/>
      <c r="J47" s="169"/>
      <c r="K47" s="169"/>
      <c r="L47" s="169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72"/>
      <c r="AM47" s="143"/>
      <c r="AN47" s="176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</row>
    <row r="48" spans="1:51">
      <c r="A48" s="143"/>
      <c r="B48" s="143"/>
      <c r="C48" s="13"/>
      <c r="D48" s="143"/>
      <c r="E48" s="169"/>
      <c r="F48" s="169"/>
      <c r="G48" s="169"/>
      <c r="H48" s="169"/>
      <c r="I48" s="169"/>
      <c r="J48" s="169"/>
      <c r="K48" s="169"/>
      <c r="L48" s="169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72"/>
      <c r="AM48" s="143"/>
      <c r="AN48" s="176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</row>
    <row r="49" spans="1:51">
      <c r="A49" s="143"/>
      <c r="B49" s="143"/>
      <c r="C49" s="13"/>
      <c r="D49" s="143"/>
      <c r="E49" s="169"/>
      <c r="F49" s="169"/>
      <c r="G49" s="169"/>
      <c r="H49" s="169"/>
      <c r="I49" s="169"/>
      <c r="J49" s="169"/>
      <c r="K49" s="169"/>
      <c r="L49" s="169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72"/>
      <c r="AM49" s="143"/>
      <c r="AN49" s="176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</row>
    <row r="50" spans="1:51">
      <c r="A50" s="143"/>
      <c r="B50" s="143"/>
      <c r="C50" s="13"/>
      <c r="D50" s="143"/>
      <c r="E50" s="169"/>
      <c r="F50" s="169"/>
      <c r="G50" s="169"/>
      <c r="H50" s="169"/>
      <c r="I50" s="169"/>
      <c r="J50" s="169"/>
      <c r="K50" s="169"/>
      <c r="L50" s="169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72"/>
      <c r="AM50" s="143"/>
      <c r="AN50" s="176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</row>
    <row r="51" spans="1:51">
      <c r="A51" s="143"/>
      <c r="B51" s="143"/>
      <c r="C51" s="13"/>
      <c r="D51" s="143"/>
      <c r="E51" s="169"/>
      <c r="F51" s="169"/>
      <c r="G51" s="169"/>
      <c r="H51" s="169"/>
      <c r="I51" s="169"/>
      <c r="J51" s="169"/>
      <c r="K51" s="169"/>
      <c r="L51" s="169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72"/>
      <c r="AM51" s="143"/>
      <c r="AN51" s="176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</row>
    <row r="52" spans="1:51">
      <c r="A52" s="143"/>
      <c r="B52" s="143"/>
      <c r="C52" s="13"/>
      <c r="D52" s="143"/>
      <c r="E52" s="169"/>
      <c r="F52" s="169"/>
      <c r="G52" s="169"/>
      <c r="H52" s="169"/>
      <c r="I52" s="169"/>
      <c r="J52" s="169"/>
      <c r="K52" s="169"/>
      <c r="L52" s="169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72"/>
      <c r="AM52" s="143"/>
      <c r="AN52" s="176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</row>
    <row r="53" spans="1:51">
      <c r="A53" s="143"/>
      <c r="B53" s="143"/>
      <c r="C53" s="13"/>
      <c r="D53" s="143"/>
      <c r="E53" s="169"/>
      <c r="F53" s="169"/>
      <c r="G53" s="169"/>
      <c r="H53" s="169"/>
      <c r="I53" s="169"/>
      <c r="J53" s="169"/>
      <c r="K53" s="169"/>
      <c r="L53" s="169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72"/>
      <c r="AM53" s="143"/>
      <c r="AN53" s="176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</row>
    <row r="54" spans="1:51">
      <c r="A54" s="143"/>
      <c r="B54" s="143"/>
      <c r="C54" s="13"/>
      <c r="D54" s="143"/>
      <c r="E54" s="169"/>
      <c r="F54" s="169"/>
      <c r="G54" s="169"/>
      <c r="H54" s="169"/>
      <c r="I54" s="169"/>
      <c r="J54" s="169"/>
      <c r="K54" s="169"/>
      <c r="L54" s="169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72"/>
      <c r="AM54" s="143"/>
      <c r="AN54" s="176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</row>
    <row r="55" spans="1:51">
      <c r="A55" s="143"/>
      <c r="B55" s="143"/>
      <c r="C55" s="13"/>
      <c r="D55" s="143"/>
      <c r="E55" s="169"/>
      <c r="F55" s="169"/>
      <c r="G55" s="169"/>
      <c r="H55" s="169"/>
      <c r="I55" s="169"/>
      <c r="J55" s="169"/>
      <c r="K55" s="169"/>
      <c r="L55" s="169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72"/>
      <c r="AM55" s="143"/>
      <c r="AN55" s="176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</row>
    <row r="56" spans="1:51">
      <c r="A56" s="143"/>
      <c r="B56" s="143"/>
      <c r="C56" s="13"/>
      <c r="D56" s="143"/>
      <c r="E56" s="169"/>
      <c r="F56" s="169"/>
      <c r="G56" s="169"/>
      <c r="H56" s="169"/>
      <c r="I56" s="169"/>
      <c r="J56" s="169"/>
      <c r="K56" s="169"/>
      <c r="L56" s="169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72"/>
      <c r="AM56" s="143"/>
      <c r="AN56" s="176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</row>
    <row r="57" spans="1:51">
      <c r="A57" s="143"/>
      <c r="B57" s="143"/>
      <c r="C57" s="13"/>
      <c r="D57" s="143"/>
      <c r="E57" s="169"/>
      <c r="F57" s="169"/>
      <c r="G57" s="169"/>
      <c r="H57" s="169"/>
      <c r="I57" s="169"/>
      <c r="J57" s="169"/>
      <c r="K57" s="169"/>
      <c r="L57" s="169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72"/>
      <c r="AM57" s="143"/>
      <c r="AN57" s="176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</row>
    <row r="58" spans="1:51">
      <c r="A58" s="15"/>
      <c r="B58" s="15"/>
      <c r="C58" s="13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67"/>
      <c r="AM58" s="15"/>
      <c r="AN58" s="176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</row>
    <row r="59" spans="1:51">
      <c r="A59" s="15"/>
      <c r="B59" s="15"/>
      <c r="C59" s="13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176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 spans="1:51">
      <c r="A60" s="15"/>
      <c r="B60" s="15"/>
      <c r="C60" s="13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67"/>
      <c r="AM60" s="15"/>
      <c r="AN60" s="176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 spans="1:51">
      <c r="A61" s="15"/>
      <c r="B61" s="15"/>
      <c r="C61" s="13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176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</row>
    <row r="62" spans="1:51">
      <c r="A62" s="15"/>
      <c r="B62" s="15"/>
      <c r="C62" s="13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67"/>
      <c r="AM62" s="15"/>
      <c r="AN62" s="176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</row>
    <row r="63" spans="1:51">
      <c r="A63" s="15"/>
      <c r="B63" s="15"/>
      <c r="C63" s="13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176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 spans="1:51">
      <c r="A64" s="15"/>
      <c r="B64" s="15"/>
      <c r="C64" s="13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67"/>
      <c r="AM64" s="15"/>
      <c r="AN64" s="176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 spans="1:51">
      <c r="A65" s="15"/>
      <c r="B65" s="15"/>
      <c r="C65" s="13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176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 spans="1:51">
      <c r="A66" s="15"/>
      <c r="B66" s="15"/>
      <c r="C66" s="13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67"/>
      <c r="AM66" s="15"/>
      <c r="AN66" s="176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</row>
    <row r="67" spans="1:51">
      <c r="A67" s="15"/>
      <c r="B67" s="15"/>
      <c r="C67" s="13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176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</row>
    <row r="68" spans="1:51">
      <c r="A68" s="15"/>
      <c r="B68" s="15"/>
      <c r="C68" s="13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67"/>
      <c r="AM68" s="15"/>
      <c r="AN68" s="176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</row>
    <row r="69" spans="1:51">
      <c r="A69" s="15"/>
      <c r="B69" s="15"/>
      <c r="C69" s="13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76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</row>
    <row r="70" spans="1:51">
      <c r="A70" s="15"/>
      <c r="B70" s="15"/>
      <c r="C70" s="13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67"/>
      <c r="AM70" s="15"/>
      <c r="AN70" s="176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 spans="1:51">
      <c r="A71" s="15"/>
      <c r="B71" s="15"/>
      <c r="C71" s="13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176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</row>
    <row r="72" spans="1:51">
      <c r="A72" s="15"/>
      <c r="B72" s="15"/>
      <c r="C72" s="13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67"/>
      <c r="AM72" s="15"/>
      <c r="AN72" s="176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 spans="1:51">
      <c r="A73" s="15"/>
      <c r="B73" s="15"/>
      <c r="C73" s="13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176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</row>
    <row r="74" spans="1:51">
      <c r="A74" s="15"/>
      <c r="B74" s="15"/>
      <c r="C74" s="13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67"/>
      <c r="AM74" s="15"/>
      <c r="AN74" s="176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</row>
    <row r="75" spans="1:51">
      <c r="A75" s="15"/>
      <c r="B75" s="15"/>
      <c r="C75" s="1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176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</row>
    <row r="76" spans="1:51">
      <c r="A76" s="15"/>
      <c r="B76" s="15"/>
      <c r="C76" s="13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67"/>
      <c r="AM76" s="15"/>
      <c r="AN76" s="176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</row>
    <row r="77" spans="1:51">
      <c r="A77" s="15"/>
      <c r="B77" s="15"/>
      <c r="C77" s="13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176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 spans="1:51">
      <c r="A78" s="15"/>
      <c r="B78" s="15"/>
      <c r="C78" s="13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67"/>
      <c r="AM78" s="15"/>
      <c r="AN78" s="176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</row>
    <row r="79" spans="1:51">
      <c r="A79" s="15"/>
      <c r="B79" s="15"/>
      <c r="C79" s="13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176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 spans="1:51">
      <c r="A80" s="15"/>
      <c r="B80" s="15"/>
      <c r="C80" s="13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67"/>
      <c r="AM80" s="15"/>
      <c r="AN80" s="176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 spans="1:51">
      <c r="A81" s="15"/>
      <c r="B81" s="15"/>
      <c r="C81" s="13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176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 spans="1:51">
      <c r="A82" s="15"/>
      <c r="B82" s="15"/>
      <c r="C82" s="13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67"/>
      <c r="AM82" s="15"/>
      <c r="AN82" s="176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</row>
    <row r="83" spans="1:51">
      <c r="A83" s="15"/>
      <c r="B83" s="15"/>
      <c r="C83" s="13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176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</row>
    <row r="84" spans="1:51">
      <c r="A84" s="15"/>
      <c r="B84" s="15"/>
      <c r="C84" s="13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67"/>
      <c r="AM84" s="15"/>
      <c r="AN84" s="176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</row>
    <row r="85" spans="1:51">
      <c r="A85" s="15"/>
      <c r="B85" s="15"/>
      <c r="C85" s="13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176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</row>
    <row r="86" spans="1:51">
      <c r="A86" s="15"/>
      <c r="B86" s="15"/>
      <c r="C86" s="13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67"/>
      <c r="AM86" s="15"/>
      <c r="AN86" s="176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</row>
    <row r="87" spans="1:51">
      <c r="A87" s="15"/>
      <c r="B87" s="15"/>
      <c r="C87" s="13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176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</row>
    <row r="88" spans="1:51">
      <c r="A88" s="15"/>
      <c r="B88" s="15"/>
      <c r="C88" s="13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67"/>
      <c r="AM88" s="15"/>
      <c r="AN88" s="176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</row>
    <row r="89" spans="1:51">
      <c r="A89" s="15"/>
      <c r="B89" s="15"/>
      <c r="C89" s="13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176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</row>
    <row r="90" spans="1:51">
      <c r="A90" s="15"/>
      <c r="B90" s="15"/>
      <c r="C90" s="13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67"/>
      <c r="AM90" s="15"/>
      <c r="AN90" s="176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</row>
    <row r="91" spans="1:51">
      <c r="A91" s="15"/>
      <c r="B91" s="15"/>
      <c r="C91" s="13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176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</row>
    <row r="92" spans="1:51">
      <c r="A92" s="15"/>
      <c r="B92" s="15"/>
      <c r="C92" s="13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67"/>
      <c r="AM92" s="15"/>
      <c r="AN92" s="176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</row>
    <row r="93" spans="1:51">
      <c r="A93" s="15"/>
      <c r="B93" s="15"/>
      <c r="C93" s="13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176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</row>
    <row r="94" spans="1:51">
      <c r="A94" s="15"/>
      <c r="B94" s="15"/>
      <c r="C94" s="13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67"/>
      <c r="AM94" s="15"/>
      <c r="AN94" s="176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</row>
    <row r="95" spans="1:51">
      <c r="A95" s="15"/>
      <c r="B95" s="15"/>
      <c r="C95" s="13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176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</row>
    <row r="96" spans="1:51">
      <c r="A96" s="15"/>
      <c r="B96" s="15"/>
      <c r="C96" s="13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67"/>
      <c r="AM96" s="15"/>
      <c r="AN96" s="176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</row>
    <row r="97" spans="1:51">
      <c r="A97" s="15"/>
      <c r="B97" s="15"/>
      <c r="C97" s="13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176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</row>
    <row r="98" spans="1:51">
      <c r="A98" s="15"/>
      <c r="B98" s="15"/>
      <c r="C98" s="13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67"/>
      <c r="AM98" s="15"/>
      <c r="AN98" s="176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</row>
    <row r="99" spans="1:51">
      <c r="A99" s="15"/>
      <c r="B99" s="15"/>
      <c r="C99" s="13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176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</row>
    <row r="100" spans="1:51">
      <c r="A100" s="15"/>
      <c r="B100" s="15"/>
      <c r="C100" s="13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67"/>
      <c r="AM100" s="15"/>
      <c r="AN100" s="176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</row>
    <row r="101" spans="1:51">
      <c r="A101" s="15"/>
      <c r="B101" s="15"/>
      <c r="C101" s="13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176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</row>
    <row r="102" spans="1:51">
      <c r="A102" s="15"/>
      <c r="B102" s="15"/>
      <c r="C102" s="13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67"/>
      <c r="AM102" s="15"/>
      <c r="AN102" s="176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</row>
    <row r="103" spans="1:51">
      <c r="A103" s="15"/>
      <c r="B103" s="15"/>
      <c r="C103" s="13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176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</row>
    <row r="104" spans="1:51">
      <c r="A104" s="15"/>
      <c r="B104" s="15"/>
      <c r="C104" s="13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67"/>
      <c r="AM104" s="15"/>
      <c r="AN104" s="176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</row>
    <row r="105" spans="1:51">
      <c r="A105" s="15"/>
      <c r="B105" s="15"/>
      <c r="C105" s="13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176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</row>
    <row r="106" spans="1:51">
      <c r="A106" s="15"/>
      <c r="B106" s="15"/>
      <c r="C106" s="13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67"/>
      <c r="AM106" s="15"/>
      <c r="AN106" s="176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</row>
    <row r="107" spans="1:51">
      <c r="A107" s="15"/>
      <c r="B107" s="15"/>
      <c r="C107" s="13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176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</row>
    <row r="108" spans="1:51">
      <c r="A108" s="15"/>
      <c r="B108" s="15"/>
      <c r="C108" s="13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67"/>
      <c r="AM108" s="15"/>
      <c r="AN108" s="176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</row>
    <row r="109" spans="1:51">
      <c r="A109" s="15"/>
      <c r="B109" s="15"/>
      <c r="C109" s="13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176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</row>
    <row r="110" spans="1:51">
      <c r="A110" s="15"/>
      <c r="B110" s="15"/>
      <c r="C110" s="13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67"/>
      <c r="AM110" s="15"/>
      <c r="AN110" s="176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</row>
    <row r="111" spans="1:51">
      <c r="A111" s="15"/>
      <c r="B111" s="15"/>
      <c r="C111" s="13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176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</row>
    <row r="112" spans="1:51">
      <c r="A112" s="15"/>
      <c r="B112" s="15"/>
      <c r="C112" s="13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67"/>
      <c r="AM112" s="15"/>
      <c r="AN112" s="176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</row>
    <row r="113" spans="1:51">
      <c r="A113" s="15"/>
      <c r="B113" s="15"/>
      <c r="C113" s="13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176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</row>
    <row r="114" spans="1:51">
      <c r="A114" s="15"/>
      <c r="B114" s="15"/>
      <c r="C114" s="13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67"/>
      <c r="AM114" s="15"/>
      <c r="AN114" s="176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</row>
    <row r="115" spans="1:51">
      <c r="A115" s="15"/>
      <c r="B115" s="15"/>
      <c r="C115" s="13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176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</row>
    <row r="116" spans="1:51">
      <c r="A116" s="15"/>
      <c r="B116" s="15"/>
      <c r="C116" s="13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67"/>
      <c r="AM116" s="15"/>
      <c r="AN116" s="176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</row>
    <row r="117" spans="1:51">
      <c r="A117" s="15"/>
      <c r="B117" s="15"/>
      <c r="C117" s="13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176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</row>
    <row r="118" spans="1:51">
      <c r="A118" s="15"/>
      <c r="B118" s="15"/>
      <c r="C118" s="13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67"/>
      <c r="AM118" s="15"/>
      <c r="AN118" s="176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</row>
    <row r="119" spans="1:51">
      <c r="A119" s="15"/>
      <c r="B119" s="15"/>
      <c r="C119" s="13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176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</row>
    <row r="120" spans="1:51">
      <c r="A120" s="15"/>
      <c r="B120" s="15"/>
      <c r="C120" s="13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67"/>
      <c r="AM120" s="15"/>
      <c r="AN120" s="176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</row>
    <row r="121" spans="1:51">
      <c r="A121" s="15"/>
      <c r="B121" s="15"/>
      <c r="C121" s="13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176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</row>
    <row r="122" spans="1:51">
      <c r="A122" s="15"/>
      <c r="B122" s="15"/>
      <c r="C122" s="13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67"/>
      <c r="AM122" s="15"/>
      <c r="AN122" s="176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</row>
    <row r="123" spans="1:51">
      <c r="A123" s="15"/>
      <c r="B123" s="15"/>
      <c r="C123" s="13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176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</row>
    <row r="124" spans="1:51">
      <c r="A124" s="15"/>
      <c r="B124" s="15"/>
      <c r="C124" s="13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67"/>
      <c r="AM124" s="15"/>
      <c r="AN124" s="176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</row>
    <row r="125" spans="1:51">
      <c r="A125" s="15"/>
      <c r="B125" s="15"/>
      <c r="C125" s="13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176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</row>
    <row r="126" spans="1:51">
      <c r="A126" s="15"/>
      <c r="B126" s="15"/>
      <c r="C126" s="13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67"/>
      <c r="AM126" s="15"/>
      <c r="AN126" s="176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</row>
    <row r="127" spans="1:51">
      <c r="A127" s="15"/>
      <c r="B127" s="15"/>
      <c r="C127" s="13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176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</row>
    <row r="128" spans="1:51">
      <c r="A128" s="15"/>
      <c r="B128" s="15"/>
      <c r="C128" s="13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67"/>
      <c r="AM128" s="15"/>
      <c r="AN128" s="176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</row>
    <row r="129" spans="1:51">
      <c r="A129" s="15"/>
      <c r="B129" s="15"/>
      <c r="C129" s="13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176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>
      <c r="A130" s="15"/>
      <c r="B130" s="15"/>
      <c r="C130" s="13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67"/>
      <c r="AM130" s="15"/>
      <c r="AN130" s="176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</row>
    <row r="131" spans="1:51">
      <c r="A131" s="15"/>
      <c r="B131" s="15"/>
      <c r="C131" s="13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176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</row>
    <row r="132" spans="1:51">
      <c r="A132" s="15"/>
      <c r="B132" s="15"/>
      <c r="C132" s="13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67"/>
      <c r="AM132" s="15"/>
      <c r="AN132" s="176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</row>
    <row r="133" spans="1:51">
      <c r="A133" s="15"/>
      <c r="B133" s="15"/>
      <c r="C133" s="13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176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</row>
    <row r="134" spans="1:51">
      <c r="A134" s="15"/>
      <c r="B134" s="15"/>
      <c r="C134" s="13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67"/>
      <c r="AM134" s="15"/>
      <c r="AN134" s="176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</row>
    <row r="135" spans="1:51">
      <c r="A135" s="15"/>
      <c r="B135" s="15"/>
      <c r="C135" s="13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176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</row>
    <row r="136" spans="1:51">
      <c r="A136" s="15"/>
      <c r="B136" s="15"/>
      <c r="C136" s="13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67"/>
      <c r="AM136" s="15"/>
      <c r="AN136" s="176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</row>
    <row r="137" spans="1:51">
      <c r="A137" s="15"/>
      <c r="B137" s="15"/>
      <c r="C137" s="13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176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</row>
    <row r="138" spans="1:51">
      <c r="A138" s="15"/>
      <c r="B138" s="15"/>
      <c r="C138" s="13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67"/>
      <c r="AM138" s="15"/>
      <c r="AN138" s="176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</row>
    <row r="139" spans="1:51">
      <c r="A139" s="15"/>
      <c r="B139" s="15"/>
      <c r="C139" s="13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176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</row>
    <row r="140" spans="1:51">
      <c r="A140" s="15"/>
      <c r="B140" s="15"/>
      <c r="C140" s="13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67"/>
      <c r="AM140" s="15"/>
      <c r="AN140" s="176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</row>
    <row r="141" spans="1:51">
      <c r="A141" s="15"/>
      <c r="B141" s="15"/>
      <c r="C141" s="13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176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</row>
    <row r="142" spans="1:51">
      <c r="A142" s="15"/>
      <c r="B142" s="15"/>
      <c r="C142" s="13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67"/>
      <c r="AM142" s="15"/>
      <c r="AN142" s="176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</row>
    <row r="143" spans="1:51">
      <c r="A143" s="15"/>
      <c r="B143" s="15"/>
      <c r="C143" s="13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176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</row>
    <row r="144" spans="1:51">
      <c r="A144" s="15"/>
      <c r="B144" s="15"/>
      <c r="C144" s="13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67"/>
      <c r="AM144" s="15"/>
      <c r="AN144" s="176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</row>
    <row r="145" spans="1:51">
      <c r="A145" s="15"/>
      <c r="B145" s="15"/>
      <c r="C145" s="13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176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</row>
    <row r="146" spans="1:51">
      <c r="A146" s="15"/>
      <c r="B146" s="15"/>
      <c r="C146" s="13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67"/>
      <c r="AM146" s="15"/>
      <c r="AN146" s="176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</row>
    <row r="147" spans="1:51">
      <c r="A147" s="15"/>
      <c r="B147" s="15"/>
      <c r="C147" s="13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176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</row>
    <row r="148" spans="1:51">
      <c r="A148" s="15"/>
      <c r="B148" s="15"/>
      <c r="C148" s="13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67"/>
      <c r="AM148" s="15"/>
      <c r="AN148" s="176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</row>
    <row r="149" spans="1:51">
      <c r="A149" s="15"/>
      <c r="B149" s="15"/>
      <c r="C149" s="13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176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</row>
    <row r="150" spans="1:51">
      <c r="A150" s="15"/>
      <c r="B150" s="15"/>
      <c r="C150" s="13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67"/>
      <c r="AM150" s="15"/>
      <c r="AN150" s="176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</row>
    <row r="151" spans="1:51">
      <c r="A151" s="15"/>
      <c r="B151" s="15"/>
      <c r="C151" s="13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176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</row>
    <row r="152" spans="1:51">
      <c r="A152" s="15"/>
      <c r="B152" s="15"/>
      <c r="C152" s="13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67"/>
      <c r="AM152" s="15"/>
      <c r="AN152" s="176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</row>
    <row r="153" spans="1:51">
      <c r="A153" s="15"/>
      <c r="B153" s="15"/>
      <c r="C153" s="13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176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</row>
    <row r="154" spans="1:51">
      <c r="A154" s="15"/>
      <c r="B154" s="15"/>
      <c r="C154" s="13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67"/>
      <c r="AM154" s="15"/>
      <c r="AN154" s="176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</row>
    <row r="155" spans="1:51">
      <c r="A155" s="15"/>
      <c r="B155" s="15"/>
      <c r="C155" s="13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176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</row>
    <row r="156" spans="1:51">
      <c r="A156" s="15"/>
      <c r="B156" s="15"/>
      <c r="C156" s="13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67"/>
      <c r="AM156" s="15"/>
      <c r="AN156" s="176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</row>
    <row r="157" spans="1:51">
      <c r="A157" s="15"/>
      <c r="B157" s="15"/>
      <c r="C157" s="13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176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</row>
    <row r="158" spans="1:51">
      <c r="A158" s="15"/>
      <c r="B158" s="15"/>
      <c r="C158" s="13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67"/>
      <c r="AM158" s="15"/>
      <c r="AN158" s="176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</row>
    <row r="159" spans="1:51">
      <c r="A159" s="15"/>
      <c r="B159" s="15"/>
      <c r="C159" s="13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176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</row>
    <row r="160" spans="1:51">
      <c r="A160" s="15"/>
      <c r="B160" s="15"/>
      <c r="C160" s="13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67"/>
      <c r="AM160" s="15"/>
      <c r="AN160" s="176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</row>
    <row r="161" spans="1:51">
      <c r="A161" s="15"/>
      <c r="B161" s="15"/>
      <c r="C161" s="13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176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</row>
    <row r="162" spans="1:51">
      <c r="A162" s="15"/>
      <c r="B162" s="15"/>
      <c r="C162" s="13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67"/>
      <c r="AM162" s="15"/>
      <c r="AN162" s="176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</row>
    <row r="163" spans="1:51">
      <c r="A163" s="15"/>
      <c r="B163" s="15"/>
      <c r="C163" s="13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176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</row>
    <row r="164" spans="1:51">
      <c r="A164" s="15"/>
      <c r="B164" s="15"/>
      <c r="C164" s="13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67"/>
      <c r="AM164" s="15"/>
      <c r="AN164" s="176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</row>
    <row r="165" spans="1:51">
      <c r="A165" s="15"/>
      <c r="B165" s="15"/>
      <c r="C165" s="13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176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</row>
    <row r="166" spans="1:51">
      <c r="A166" s="15"/>
      <c r="B166" s="15"/>
      <c r="C166" s="13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67"/>
      <c r="AM166" s="15"/>
      <c r="AN166" s="176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</row>
    <row r="167" spans="1:51">
      <c r="A167" s="15"/>
      <c r="B167" s="15"/>
      <c r="C167" s="13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176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</row>
    <row r="168" spans="1:51">
      <c r="A168" s="15"/>
      <c r="B168" s="15"/>
      <c r="C168" s="13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67"/>
      <c r="AM168" s="15"/>
      <c r="AN168" s="176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</row>
    <row r="169" spans="1:51">
      <c r="A169" s="15"/>
      <c r="B169" s="15"/>
      <c r="C169" s="13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176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</row>
    <row r="170" spans="1:51">
      <c r="A170" s="15"/>
      <c r="B170" s="15"/>
      <c r="C170" s="13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67"/>
      <c r="AM170" s="15"/>
      <c r="AN170" s="176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</row>
    <row r="171" spans="1:51">
      <c r="A171" s="15"/>
      <c r="B171" s="15"/>
      <c r="C171" s="13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176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</row>
    <row r="172" spans="1:51">
      <c r="A172" s="15"/>
      <c r="B172" s="15"/>
      <c r="C172" s="13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67"/>
      <c r="AM172" s="15"/>
      <c r="AN172" s="176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</row>
    <row r="173" spans="1:51">
      <c r="A173" s="15"/>
      <c r="B173" s="15"/>
      <c r="C173" s="13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176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</row>
    <row r="174" spans="1:51">
      <c r="A174" s="15"/>
      <c r="B174" s="15"/>
      <c r="C174" s="13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67"/>
      <c r="AM174" s="15"/>
      <c r="AN174" s="176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</row>
    <row r="175" spans="1:51">
      <c r="A175" s="15"/>
      <c r="B175" s="15"/>
      <c r="C175" s="13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176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</row>
    <row r="176" spans="1:51">
      <c r="A176" s="15"/>
      <c r="B176" s="15"/>
      <c r="C176" s="13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67"/>
      <c r="AM176" s="15"/>
      <c r="AN176" s="176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</row>
    <row r="177" spans="1:51">
      <c r="A177" s="15"/>
      <c r="B177" s="15"/>
      <c r="C177" s="13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176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</row>
    <row r="178" spans="1:51">
      <c r="A178" s="15"/>
      <c r="B178" s="15"/>
      <c r="C178" s="13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67"/>
      <c r="AM178" s="15"/>
      <c r="AN178" s="176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</row>
    <row r="179" spans="1:51">
      <c r="A179" s="15"/>
      <c r="B179" s="15"/>
      <c r="C179" s="13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176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</row>
    <row r="180" spans="1:51">
      <c r="A180" s="15"/>
      <c r="B180" s="15"/>
      <c r="C180" s="13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67"/>
      <c r="AM180" s="15"/>
      <c r="AN180" s="176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</row>
    <row r="181" spans="1:51">
      <c r="A181" s="15"/>
      <c r="B181" s="15"/>
      <c r="C181" s="13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176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</row>
    <row r="182" spans="1:51">
      <c r="A182" s="15"/>
      <c r="B182" s="15"/>
      <c r="C182" s="13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67"/>
      <c r="AM182" s="15"/>
      <c r="AN182" s="176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</row>
    <row r="183" spans="1:51">
      <c r="A183" s="15"/>
      <c r="B183" s="15"/>
      <c r="C183" s="13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176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</row>
    <row r="184" spans="1:51">
      <c r="A184" s="15"/>
      <c r="B184" s="15"/>
      <c r="C184" s="13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67"/>
      <c r="AM184" s="15"/>
      <c r="AN184" s="176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</row>
    <row r="185" spans="1:51">
      <c r="A185" s="15"/>
      <c r="B185" s="15"/>
      <c r="C185" s="13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176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</row>
    <row r="186" spans="1:51">
      <c r="A186" s="15"/>
      <c r="B186" s="15"/>
      <c r="C186" s="13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67"/>
      <c r="AM186" s="15"/>
      <c r="AN186" s="176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</row>
    <row r="187" spans="1:51">
      <c r="A187" s="15"/>
      <c r="B187" s="15"/>
      <c r="C187" s="13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176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</row>
    <row r="188" spans="1:51">
      <c r="A188" s="15"/>
      <c r="B188" s="15"/>
      <c r="C188" s="13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67"/>
      <c r="AM188" s="15"/>
      <c r="AN188" s="176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</row>
    <row r="189" spans="1:51">
      <c r="A189" s="15"/>
      <c r="B189" s="15"/>
      <c r="C189" s="13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176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</row>
    <row r="190" spans="1:51">
      <c r="A190" s="15"/>
      <c r="B190" s="15"/>
      <c r="C190" s="13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67"/>
      <c r="AM190" s="15"/>
      <c r="AN190" s="176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</row>
    <row r="191" spans="1:51">
      <c r="A191" s="15"/>
      <c r="B191" s="15"/>
      <c r="C191" s="13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176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</row>
    <row r="192" spans="1:51">
      <c r="A192" s="15"/>
      <c r="B192" s="15"/>
      <c r="C192" s="13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67"/>
      <c r="AM192" s="15"/>
      <c r="AN192" s="176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</row>
    <row r="193" spans="1:51">
      <c r="A193" s="15"/>
      <c r="B193" s="15"/>
      <c r="C193" s="13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176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</row>
    <row r="194" spans="1:51">
      <c r="A194" s="15"/>
      <c r="B194" s="15"/>
      <c r="C194" s="13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67"/>
      <c r="AM194" s="15"/>
      <c r="AN194" s="176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</row>
    <row r="195" spans="1:51">
      <c r="A195" s="15"/>
      <c r="B195" s="15"/>
      <c r="C195" s="13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176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</row>
    <row r="196" spans="1:51">
      <c r="A196" s="15"/>
      <c r="B196" s="15"/>
      <c r="C196" s="13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67"/>
      <c r="AM196" s="15"/>
      <c r="AN196" s="176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</row>
    <row r="197" spans="1:51">
      <c r="A197" s="15"/>
      <c r="B197" s="15"/>
      <c r="C197" s="13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176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</row>
    <row r="198" spans="1:51">
      <c r="A198" s="15"/>
      <c r="B198" s="15"/>
      <c r="C198" s="13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67"/>
      <c r="AM198" s="15"/>
      <c r="AN198" s="176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</row>
    <row r="199" spans="1:51">
      <c r="A199" s="15"/>
      <c r="B199" s="15"/>
      <c r="C199" s="13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176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</row>
    <row r="200" spans="1:51">
      <c r="A200" s="15"/>
      <c r="B200" s="15"/>
      <c r="C200" s="13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67"/>
      <c r="AM200" s="15"/>
      <c r="AN200" s="176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</row>
    <row r="201" spans="1:51">
      <c r="A201" s="15"/>
      <c r="B201" s="15"/>
      <c r="C201" s="13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176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</row>
    <row r="202" spans="1:51">
      <c r="A202" s="15"/>
      <c r="B202" s="15"/>
      <c r="C202" s="13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67"/>
      <c r="AM202" s="15"/>
      <c r="AN202" s="176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</row>
    <row r="203" spans="1:51">
      <c r="A203" s="15"/>
      <c r="B203" s="15"/>
      <c r="C203" s="13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176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</row>
    <row r="204" spans="1:51">
      <c r="A204" s="15"/>
      <c r="B204" s="15"/>
      <c r="C204" s="13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67"/>
      <c r="AM204" s="15"/>
      <c r="AN204" s="176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</row>
    <row r="205" spans="1:51">
      <c r="A205" s="15"/>
      <c r="B205" s="15"/>
      <c r="C205" s="13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176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</row>
    <row r="206" spans="1:51">
      <c r="A206" s="15"/>
      <c r="B206" s="15"/>
      <c r="C206" s="13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67"/>
      <c r="AM206" s="15"/>
      <c r="AN206" s="176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</row>
    <row r="207" spans="1:51">
      <c r="A207" s="15"/>
      <c r="B207" s="15"/>
      <c r="C207" s="13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176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</row>
    <row r="208" spans="1:51">
      <c r="A208" s="15"/>
      <c r="B208" s="15"/>
      <c r="C208" s="13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67"/>
      <c r="AM208" s="15"/>
      <c r="AN208" s="176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</row>
    <row r="209" spans="1:51">
      <c r="A209" s="15"/>
      <c r="B209" s="15"/>
      <c r="C209" s="13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176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</row>
    <row r="210" spans="1:51">
      <c r="A210" s="15"/>
      <c r="B210" s="15"/>
      <c r="C210" s="13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67"/>
      <c r="AM210" s="15"/>
      <c r="AN210" s="176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</row>
    <row r="211" spans="1:51">
      <c r="A211" s="15"/>
      <c r="B211" s="15"/>
      <c r="C211" s="13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176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</row>
    <row r="212" spans="1:51">
      <c r="A212" s="15"/>
      <c r="B212" s="15"/>
      <c r="C212" s="13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67"/>
      <c r="AM212" s="15"/>
      <c r="AN212" s="176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</row>
    <row r="213" spans="1:51">
      <c r="A213" s="15"/>
      <c r="B213" s="15"/>
      <c r="C213" s="13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176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</row>
    <row r="214" spans="1:51">
      <c r="A214" s="15"/>
      <c r="B214" s="15"/>
      <c r="C214" s="13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67"/>
      <c r="AM214" s="15"/>
      <c r="AN214" s="176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</row>
    <row r="215" spans="1:51">
      <c r="A215" s="15"/>
      <c r="B215" s="15"/>
      <c r="C215" s="13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176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</row>
    <row r="216" spans="1:51">
      <c r="A216" s="15"/>
      <c r="B216" s="15"/>
      <c r="C216" s="13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67"/>
      <c r="AM216" s="15"/>
      <c r="AN216" s="176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</row>
    <row r="217" spans="1:51">
      <c r="A217" s="15"/>
      <c r="B217" s="15"/>
      <c r="C217" s="13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176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</row>
    <row r="218" spans="1:51">
      <c r="A218" s="15"/>
      <c r="B218" s="15"/>
      <c r="C218" s="13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67"/>
      <c r="AM218" s="15"/>
      <c r="AN218" s="176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</row>
    <row r="219" spans="1:51">
      <c r="A219" s="15"/>
      <c r="B219" s="15"/>
      <c r="C219" s="13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176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</row>
    <row r="220" spans="1:51">
      <c r="A220" s="15"/>
      <c r="B220" s="15"/>
      <c r="C220" s="13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67"/>
      <c r="AM220" s="15"/>
      <c r="AN220" s="176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</row>
    <row r="221" spans="1:51">
      <c r="A221" s="15"/>
      <c r="B221" s="15"/>
      <c r="C221" s="13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176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</row>
    <row r="222" spans="1:51">
      <c r="A222" s="15"/>
      <c r="B222" s="15"/>
      <c r="C222" s="13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67"/>
      <c r="AM222" s="15"/>
      <c r="AN222" s="176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</row>
    <row r="223" spans="1:51">
      <c r="A223" s="15"/>
      <c r="B223" s="15"/>
      <c r="C223" s="13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76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</row>
    <row r="224" spans="1:51">
      <c r="A224" s="15"/>
      <c r="B224" s="15"/>
      <c r="C224" s="13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67"/>
      <c r="AM224" s="15"/>
      <c r="AN224" s="176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</row>
    <row r="225" spans="1:51">
      <c r="A225" s="15"/>
      <c r="B225" s="15"/>
      <c r="C225" s="13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176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</row>
    <row r="226" spans="1:51">
      <c r="A226" s="15"/>
      <c r="B226" s="15"/>
      <c r="C226" s="13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67"/>
      <c r="AM226" s="15"/>
      <c r="AN226" s="176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</row>
    <row r="227" spans="1:51">
      <c r="A227" s="15"/>
      <c r="B227" s="15"/>
      <c r="C227" s="13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176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</row>
    <row r="228" spans="1:51">
      <c r="A228" s="15"/>
      <c r="B228" s="15"/>
      <c r="C228" s="13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67"/>
      <c r="AM228" s="15"/>
      <c r="AN228" s="176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</row>
    <row r="229" spans="1:51">
      <c r="A229" s="15"/>
      <c r="B229" s="15"/>
      <c r="C229" s="13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176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</row>
    <row r="230" spans="1:51">
      <c r="A230" s="15"/>
      <c r="B230" s="15"/>
      <c r="C230" s="13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67"/>
      <c r="AM230" s="15"/>
      <c r="AN230" s="176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</row>
    <row r="231" spans="1:51">
      <c r="A231" s="15"/>
      <c r="B231" s="15"/>
      <c r="C231" s="13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176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</row>
    <row r="232" spans="1:51">
      <c r="A232" s="15"/>
      <c r="B232" s="15"/>
      <c r="C232" s="13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67"/>
      <c r="AM232" s="15"/>
      <c r="AN232" s="176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</row>
    <row r="233" spans="1:51">
      <c r="A233" s="15"/>
      <c r="B233" s="15"/>
      <c r="C233" s="13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176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</row>
    <row r="234" spans="1:51">
      <c r="A234" s="15"/>
      <c r="B234" s="15"/>
      <c r="C234" s="13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67"/>
      <c r="AM234" s="15"/>
      <c r="AN234" s="176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</row>
    <row r="235" spans="1:51">
      <c r="A235" s="15"/>
      <c r="B235" s="15"/>
      <c r="C235" s="13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176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</row>
    <row r="236" spans="1:51">
      <c r="A236" s="15"/>
      <c r="B236" s="15"/>
      <c r="C236" s="13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67"/>
      <c r="AM236" s="15"/>
      <c r="AN236" s="176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</row>
    <row r="237" spans="1:51">
      <c r="A237" s="15"/>
      <c r="B237" s="15"/>
      <c r="C237" s="13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176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</row>
    <row r="238" spans="1:51">
      <c r="A238" s="15"/>
      <c r="B238" s="15"/>
      <c r="C238" s="13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67"/>
      <c r="AM238" s="15"/>
      <c r="AN238" s="176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</row>
    <row r="239" spans="1:51">
      <c r="A239" s="15"/>
      <c r="B239" s="15"/>
      <c r="C239" s="13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176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</row>
    <row r="240" spans="1:51">
      <c r="A240" s="15"/>
      <c r="B240" s="15"/>
      <c r="C240" s="13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67"/>
      <c r="AM240" s="15"/>
      <c r="AN240" s="176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</row>
    <row r="241" spans="1:51">
      <c r="A241" s="15"/>
      <c r="B241" s="15"/>
      <c r="C241" s="13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176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</row>
    <row r="242" spans="1:51">
      <c r="A242" s="15"/>
      <c r="B242" s="15"/>
      <c r="C242" s="13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67"/>
      <c r="AM242" s="15"/>
      <c r="AN242" s="176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</row>
    <row r="243" spans="1:51">
      <c r="A243" s="15"/>
      <c r="B243" s="15"/>
      <c r="C243" s="13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176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</row>
    <row r="244" spans="1:51">
      <c r="A244" s="15"/>
      <c r="B244" s="15"/>
      <c r="C244" s="13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67"/>
      <c r="AM244" s="15"/>
      <c r="AN244" s="176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</row>
    <row r="245" spans="1:51">
      <c r="A245" s="15"/>
      <c r="B245" s="15"/>
      <c r="C245" s="13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176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</row>
    <row r="246" spans="1:51">
      <c r="A246" s="15"/>
      <c r="B246" s="15"/>
      <c r="C246" s="13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67"/>
      <c r="AM246" s="15"/>
      <c r="AN246" s="176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</row>
    <row r="247" spans="1:51">
      <c r="A247" s="15"/>
      <c r="B247" s="15"/>
      <c r="C247" s="13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176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</row>
    <row r="248" spans="1:51">
      <c r="A248" s="15"/>
      <c r="B248" s="15"/>
      <c r="C248" s="13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67"/>
      <c r="AM248" s="15"/>
      <c r="AN248" s="176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</row>
    <row r="249" spans="1:51">
      <c r="A249" s="15"/>
      <c r="B249" s="15"/>
      <c r="C249" s="13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176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</row>
    <row r="250" spans="1:51">
      <c r="A250" s="15"/>
      <c r="B250" s="15"/>
      <c r="C250" s="13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67"/>
      <c r="AM250" s="15"/>
      <c r="AN250" s="176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</row>
    <row r="251" spans="1:51">
      <c r="A251" s="15"/>
      <c r="B251" s="15"/>
      <c r="C251" s="13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176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</row>
    <row r="252" spans="1:51">
      <c r="A252" s="15"/>
      <c r="B252" s="15"/>
      <c r="C252" s="13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67"/>
      <c r="AM252" s="15"/>
      <c r="AN252" s="176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</row>
    <row r="253" spans="1:51">
      <c r="A253" s="15"/>
      <c r="B253" s="15"/>
      <c r="C253" s="13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176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</row>
    <row r="254" spans="1:51">
      <c r="A254" s="15"/>
      <c r="B254" s="15"/>
      <c r="C254" s="13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67"/>
      <c r="AM254" s="15"/>
      <c r="AN254" s="176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</row>
    <row r="255" spans="1:51">
      <c r="A255" s="15"/>
      <c r="B255" s="15"/>
      <c r="C255" s="13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176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</row>
    <row r="256" spans="1:51">
      <c r="A256" s="15"/>
      <c r="B256" s="15"/>
      <c r="C256" s="13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67"/>
      <c r="AM256" s="15"/>
      <c r="AN256" s="176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</row>
    <row r="257" spans="1:51">
      <c r="A257" s="15"/>
      <c r="B257" s="15"/>
      <c r="C257" s="13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176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</row>
    <row r="258" spans="1:51">
      <c r="A258" s="15"/>
      <c r="B258" s="15"/>
      <c r="C258" s="13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67"/>
      <c r="AM258" s="15"/>
      <c r="AN258" s="176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</row>
    <row r="259" spans="1:51">
      <c r="A259" s="15"/>
      <c r="B259" s="15"/>
      <c r="C259" s="13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176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</row>
    <row r="260" spans="1:51">
      <c r="A260" s="15"/>
      <c r="B260" s="15"/>
      <c r="C260" s="13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67"/>
      <c r="AM260" s="15"/>
      <c r="AN260" s="176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</row>
    <row r="261" spans="1:51">
      <c r="A261" s="15"/>
      <c r="B261" s="15"/>
      <c r="C261" s="13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176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</row>
    <row r="262" spans="1:51">
      <c r="A262" s="15"/>
      <c r="B262" s="15"/>
      <c r="C262" s="13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67"/>
      <c r="AM262" s="15"/>
      <c r="AN262" s="176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</row>
    <row r="263" spans="1:51">
      <c r="A263" s="15"/>
      <c r="B263" s="15"/>
      <c r="C263" s="13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176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</row>
    <row r="264" spans="1:51">
      <c r="A264" s="15"/>
      <c r="B264" s="15"/>
      <c r="C264" s="13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67"/>
      <c r="AM264" s="15"/>
      <c r="AN264" s="176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</row>
    <row r="265" spans="1:51">
      <c r="A265" s="15"/>
      <c r="B265" s="15"/>
      <c r="C265" s="13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176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</row>
    <row r="266" spans="1:51">
      <c r="A266" s="15"/>
      <c r="B266" s="15"/>
      <c r="C266" s="13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67"/>
      <c r="AM266" s="15"/>
      <c r="AN266" s="176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</row>
    <row r="267" spans="1:51">
      <c r="A267" s="15"/>
      <c r="B267" s="15"/>
      <c r="C267" s="13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176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</row>
    <row r="268" spans="1:51">
      <c r="A268" s="15"/>
      <c r="B268" s="15"/>
      <c r="C268" s="13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67"/>
      <c r="AM268" s="15"/>
      <c r="AN268" s="176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</row>
    <row r="269" spans="1:51">
      <c r="A269" s="15"/>
      <c r="B269" s="15"/>
      <c r="C269" s="13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176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</row>
    <row r="270" spans="1:51">
      <c r="A270" s="15"/>
      <c r="B270" s="15"/>
      <c r="C270" s="13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67"/>
      <c r="AM270" s="15"/>
      <c r="AN270" s="176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</row>
    <row r="271" spans="1:51">
      <c r="A271" s="15"/>
      <c r="B271" s="15"/>
      <c r="C271" s="13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176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</row>
    <row r="272" spans="1:51">
      <c r="A272" s="15"/>
      <c r="B272" s="15"/>
      <c r="C272" s="13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67"/>
      <c r="AM272" s="15"/>
      <c r="AN272" s="176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</row>
    <row r="273" spans="1:51">
      <c r="A273" s="15"/>
      <c r="B273" s="15"/>
      <c r="C273" s="13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176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</row>
    <row r="274" spans="1:51">
      <c r="A274" s="15"/>
      <c r="B274" s="15"/>
      <c r="C274" s="13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67"/>
      <c r="AM274" s="15"/>
      <c r="AN274" s="176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</row>
    <row r="275" spans="1:51">
      <c r="A275" s="15"/>
      <c r="B275" s="15"/>
      <c r="C275" s="13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176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</row>
    <row r="276" spans="1:51">
      <c r="A276" s="15"/>
      <c r="B276" s="15"/>
      <c r="C276" s="13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67"/>
      <c r="AM276" s="15"/>
      <c r="AN276" s="176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</row>
    <row r="277" spans="1:51">
      <c r="A277" s="15"/>
      <c r="B277" s="15"/>
      <c r="C277" s="13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176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</row>
    <row r="278" spans="1:51">
      <c r="A278" s="15"/>
      <c r="B278" s="15"/>
      <c r="C278" s="13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67"/>
      <c r="AM278" s="15"/>
      <c r="AN278" s="176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</row>
    <row r="279" spans="1:51">
      <c r="A279" s="15"/>
      <c r="B279" s="15"/>
      <c r="C279" s="13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176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</row>
    <row r="280" spans="1:51">
      <c r="A280" s="15"/>
      <c r="B280" s="15"/>
      <c r="C280" s="13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67"/>
      <c r="AM280" s="15"/>
      <c r="AN280" s="176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</row>
    <row r="281" spans="1:51">
      <c r="A281" s="15"/>
      <c r="B281" s="15"/>
      <c r="C281" s="13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176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</row>
    <row r="282" spans="1:51">
      <c r="A282" s="15"/>
      <c r="B282" s="15"/>
      <c r="C282" s="13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67"/>
      <c r="AM282" s="15"/>
      <c r="AN282" s="176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</row>
    <row r="283" spans="1:51">
      <c r="A283" s="15"/>
      <c r="B283" s="15"/>
      <c r="C283" s="13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176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</row>
    <row r="284" spans="1:51">
      <c r="A284" s="15"/>
      <c r="B284" s="15"/>
      <c r="C284" s="13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67"/>
      <c r="AM284" s="15"/>
      <c r="AN284" s="176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</row>
    <row r="285" spans="1:51">
      <c r="A285" s="15"/>
      <c r="B285" s="15"/>
      <c r="C285" s="13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176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</row>
    <row r="286" spans="1:51">
      <c r="A286" s="15"/>
      <c r="B286" s="15"/>
      <c r="C286" s="13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67"/>
      <c r="AM286" s="15"/>
      <c r="AN286" s="176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</row>
    <row r="287" spans="1:51">
      <c r="A287" s="15"/>
      <c r="B287" s="15"/>
      <c r="C287" s="13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176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</row>
    <row r="288" spans="1:51">
      <c r="A288" s="15"/>
      <c r="B288" s="15"/>
      <c r="C288" s="13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67"/>
      <c r="AM288" s="15"/>
      <c r="AN288" s="176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</row>
    <row r="289" spans="1:51">
      <c r="A289" s="15"/>
      <c r="B289" s="15"/>
      <c r="C289" s="13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176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</row>
    <row r="290" spans="1:51">
      <c r="A290" s="15"/>
      <c r="B290" s="15"/>
      <c r="C290" s="13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67"/>
      <c r="AM290" s="15"/>
      <c r="AN290" s="176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</row>
    <row r="291" spans="1:51">
      <c r="A291" s="15"/>
      <c r="B291" s="15"/>
      <c r="C291" s="13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176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</row>
    <row r="292" spans="1:51">
      <c r="A292" s="15"/>
      <c r="B292" s="15"/>
      <c r="C292" s="13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67"/>
      <c r="AM292" s="15"/>
      <c r="AN292" s="176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</row>
    <row r="293" spans="1:51">
      <c r="A293" s="15"/>
      <c r="B293" s="15"/>
      <c r="C293" s="13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176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</row>
    <row r="294" spans="1:51">
      <c r="A294" s="15"/>
      <c r="B294" s="15"/>
      <c r="C294" s="13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67"/>
      <c r="AM294" s="15"/>
      <c r="AN294" s="176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</row>
    <row r="295" spans="1:51">
      <c r="A295" s="15"/>
      <c r="B295" s="15"/>
      <c r="C295" s="13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176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</row>
    <row r="296" spans="1:51">
      <c r="A296" s="15"/>
      <c r="B296" s="15"/>
      <c r="C296" s="13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67"/>
      <c r="AM296" s="15"/>
      <c r="AN296" s="176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</row>
    <row r="297" spans="1:51">
      <c r="A297" s="15"/>
      <c r="B297" s="15"/>
      <c r="C297" s="13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176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</row>
    <row r="298" spans="1:51">
      <c r="A298" s="15"/>
      <c r="B298" s="15"/>
      <c r="C298" s="13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67"/>
      <c r="AM298" s="15"/>
      <c r="AN298" s="176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</row>
    <row r="299" spans="1:51">
      <c r="A299" s="15"/>
      <c r="B299" s="15"/>
      <c r="C299" s="13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176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</row>
    <row r="300" spans="1:51">
      <c r="A300" s="15"/>
      <c r="B300" s="15"/>
      <c r="C300" s="13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67"/>
      <c r="AM300" s="15"/>
      <c r="AN300" s="176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</row>
    <row r="301" spans="1:51">
      <c r="A301" s="15"/>
      <c r="B301" s="15"/>
      <c r="C301" s="13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176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</row>
    <row r="302" spans="1:51">
      <c r="A302" s="15"/>
      <c r="B302" s="15"/>
      <c r="C302" s="13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67"/>
      <c r="AM302" s="15"/>
      <c r="AN302" s="176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</row>
    <row r="303" spans="1:51">
      <c r="A303" s="15"/>
      <c r="B303" s="15"/>
      <c r="C303" s="13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176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</row>
    <row r="304" spans="1:51">
      <c r="A304" s="15"/>
      <c r="B304" s="15"/>
      <c r="C304" s="13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67"/>
      <c r="AM304" s="15"/>
      <c r="AN304" s="176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</row>
    <row r="305" spans="1:51">
      <c r="A305" s="15"/>
      <c r="B305" s="15"/>
      <c r="C305" s="13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176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</row>
    <row r="306" spans="1:51">
      <c r="A306" s="15"/>
      <c r="B306" s="15"/>
      <c r="C306" s="13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67"/>
      <c r="AM306" s="15"/>
      <c r="AN306" s="176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</row>
    <row r="307" spans="1:51">
      <c r="A307" s="15"/>
      <c r="B307" s="15"/>
      <c r="C307" s="13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67"/>
      <c r="AM307" s="15"/>
      <c r="AN307" s="176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</row>
    <row r="308" spans="1:51">
      <c r="A308" s="15"/>
      <c r="B308" s="15"/>
      <c r="C308" s="13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67"/>
      <c r="AM308" s="15"/>
      <c r="AN308" s="176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</row>
    <row r="309" spans="1:51">
      <c r="A309" s="15"/>
      <c r="B309" s="15"/>
      <c r="C309" s="13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67"/>
      <c r="AM309" s="15"/>
      <c r="AN309" s="176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</row>
    <row r="310" spans="1:51">
      <c r="A310" s="15"/>
      <c r="B310" s="15"/>
      <c r="C310" s="13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67"/>
      <c r="AM310" s="15"/>
      <c r="AN310" s="176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</row>
    <row r="311" spans="1:51">
      <c r="A311" s="15"/>
      <c r="B311" s="15"/>
      <c r="C311" s="13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176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</row>
    <row r="312" spans="1:51">
      <c r="A312" s="15"/>
      <c r="B312" s="15"/>
      <c r="C312" s="13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67"/>
      <c r="AM312" s="15"/>
      <c r="AN312" s="176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</row>
    <row r="313" spans="1:51">
      <c r="A313" s="15"/>
      <c r="B313" s="15"/>
      <c r="C313" s="13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176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</row>
    <row r="314" spans="1:51">
      <c r="A314" s="15"/>
      <c r="B314" s="15"/>
      <c r="C314" s="13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67"/>
      <c r="AM314" s="15"/>
      <c r="AN314" s="176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</row>
    <row r="315" spans="1:51">
      <c r="A315" s="15"/>
      <c r="B315" s="15"/>
      <c r="C315" s="13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176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</row>
    <row r="316" spans="1:51">
      <c r="A316" s="15"/>
      <c r="B316" s="15"/>
      <c r="C316" s="13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67"/>
      <c r="AM316" s="15"/>
      <c r="AN316" s="176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</row>
    <row r="317" spans="1:51">
      <c r="A317" s="15"/>
      <c r="B317" s="15"/>
      <c r="C317" s="13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176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</row>
    <row r="318" spans="1:51">
      <c r="A318" s="15"/>
      <c r="B318" s="15"/>
      <c r="C318" s="13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67"/>
      <c r="AM318" s="15"/>
      <c r="AN318" s="176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</row>
    <row r="319" spans="1:51">
      <c r="A319" s="15"/>
      <c r="B319" s="15"/>
      <c r="C319" s="13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176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</row>
    <row r="320" spans="1:51">
      <c r="A320" s="15"/>
      <c r="B320" s="15"/>
      <c r="C320" s="13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67"/>
      <c r="AM320" s="15"/>
      <c r="AN320" s="176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</row>
    <row r="321" spans="1:51">
      <c r="A321" s="15"/>
      <c r="B321" s="15"/>
      <c r="C321" s="13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176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</row>
    <row r="322" spans="1:51">
      <c r="A322" s="15"/>
      <c r="B322" s="15"/>
      <c r="C322" s="13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67"/>
      <c r="AM322" s="15"/>
      <c r="AN322" s="176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</row>
    <row r="323" spans="1:51">
      <c r="A323" s="15"/>
      <c r="B323" s="15"/>
      <c r="C323" s="13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176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</row>
    <row r="324" spans="1:51">
      <c r="A324" s="15"/>
      <c r="B324" s="15"/>
      <c r="C324" s="13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67"/>
      <c r="AM324" s="15"/>
      <c r="AN324" s="176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</row>
    <row r="325" spans="1:51">
      <c r="A325" s="15"/>
      <c r="B325" s="15"/>
      <c r="C325" s="13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176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</row>
    <row r="326" spans="1:51">
      <c r="A326" s="15"/>
      <c r="B326" s="15"/>
      <c r="C326" s="13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67"/>
      <c r="AM326" s="15"/>
      <c r="AN326" s="176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</row>
    <row r="327" spans="1:51">
      <c r="A327" s="15"/>
      <c r="B327" s="15"/>
      <c r="C327" s="13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176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</row>
    <row r="328" spans="1:51">
      <c r="A328" s="15"/>
      <c r="B328" s="15"/>
      <c r="C328" s="13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67"/>
      <c r="AM328" s="15"/>
      <c r="AN328" s="176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</row>
    <row r="329" spans="1:51">
      <c r="A329" s="15"/>
      <c r="B329" s="15"/>
      <c r="C329" s="13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176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</row>
    <row r="330" spans="1:51">
      <c r="A330" s="15"/>
      <c r="B330" s="15"/>
      <c r="C330" s="13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67"/>
      <c r="AM330" s="15"/>
      <c r="AN330" s="176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</row>
    <row r="331" spans="1:51">
      <c r="A331" s="15"/>
      <c r="B331" s="15"/>
      <c r="C331" s="13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176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</row>
    <row r="332" spans="1:51">
      <c r="A332" s="15"/>
      <c r="B332" s="15"/>
      <c r="C332" s="13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67"/>
      <c r="AM332" s="15"/>
      <c r="AN332" s="176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</row>
    <row r="333" spans="1:51">
      <c r="A333" s="15"/>
      <c r="B333" s="15"/>
      <c r="C333" s="13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176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</row>
    <row r="334" spans="1:51">
      <c r="A334" s="15"/>
      <c r="B334" s="15"/>
      <c r="C334" s="13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67"/>
      <c r="AM334" s="15"/>
      <c r="AN334" s="176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</row>
    <row r="335" spans="1:51">
      <c r="A335" s="15"/>
      <c r="B335" s="15"/>
      <c r="C335" s="13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176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</row>
    <row r="336" spans="1:51">
      <c r="A336" s="15"/>
      <c r="B336" s="15"/>
      <c r="C336" s="13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67"/>
      <c r="AM336" s="15"/>
      <c r="AN336" s="176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</row>
    <row r="337" spans="1:51">
      <c r="A337" s="15"/>
      <c r="B337" s="15"/>
      <c r="C337" s="13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176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</row>
    <row r="338" spans="1:51">
      <c r="A338" s="15"/>
      <c r="B338" s="15"/>
      <c r="C338" s="13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67"/>
      <c r="AM338" s="15"/>
      <c r="AN338" s="176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</row>
    <row r="339" spans="1:51">
      <c r="A339" s="15"/>
      <c r="B339" s="15"/>
      <c r="C339" s="13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176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</row>
    <row r="340" spans="1:51">
      <c r="A340" s="15"/>
      <c r="B340" s="15"/>
      <c r="C340" s="13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67"/>
      <c r="AM340" s="15"/>
      <c r="AN340" s="176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</row>
    <row r="341" spans="1:51">
      <c r="A341" s="15"/>
      <c r="B341" s="15"/>
      <c r="C341" s="13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176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</row>
    <row r="342" spans="1:51">
      <c r="A342" s="15"/>
      <c r="B342" s="15"/>
      <c r="C342" s="13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67"/>
      <c r="AM342" s="15"/>
      <c r="AN342" s="176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</row>
    <row r="343" spans="1:51">
      <c r="A343" s="15"/>
      <c r="B343" s="15"/>
      <c r="C343" s="13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176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</row>
    <row r="344" spans="1:51">
      <c r="A344" s="15"/>
      <c r="B344" s="15"/>
      <c r="C344" s="13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67"/>
      <c r="AM344" s="15"/>
      <c r="AN344" s="176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</row>
    <row r="345" spans="1:51">
      <c r="A345" s="15"/>
      <c r="B345" s="15"/>
      <c r="C345" s="13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176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</row>
    <row r="346" spans="1:51">
      <c r="A346" s="15"/>
      <c r="B346" s="15"/>
      <c r="C346" s="13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67"/>
      <c r="AM346" s="15"/>
      <c r="AN346" s="176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</row>
    <row r="347" spans="1:51">
      <c r="A347" s="15"/>
      <c r="B347" s="15"/>
      <c r="C347" s="13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176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</row>
    <row r="348" spans="1:51">
      <c r="A348" s="15"/>
      <c r="B348" s="15"/>
      <c r="C348" s="13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67"/>
      <c r="AM348" s="15"/>
      <c r="AN348" s="176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</row>
    <row r="349" spans="1:51">
      <c r="A349" s="15"/>
      <c r="B349" s="15"/>
      <c r="C349" s="13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176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</row>
    <row r="350" spans="1:51">
      <c r="A350" s="15"/>
      <c r="B350" s="15"/>
      <c r="C350" s="13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67"/>
      <c r="AM350" s="15"/>
      <c r="AN350" s="176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</row>
    <row r="351" spans="1:51">
      <c r="A351" s="15"/>
      <c r="B351" s="15"/>
      <c r="C351" s="13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176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</row>
    <row r="352" spans="1:51">
      <c r="A352" s="15"/>
      <c r="B352" s="15"/>
      <c r="C352" s="13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67"/>
      <c r="AM352" s="15"/>
      <c r="AN352" s="176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</row>
    <row r="353" spans="1:51">
      <c r="A353" s="15"/>
      <c r="B353" s="15"/>
      <c r="C353" s="13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176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</row>
    <row r="354" spans="1:51">
      <c r="A354" s="15"/>
      <c r="B354" s="15"/>
      <c r="C354" s="13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67"/>
      <c r="AM354" s="15"/>
      <c r="AN354" s="176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</row>
    <row r="355" spans="1:51">
      <c r="A355" s="15"/>
      <c r="B355" s="15"/>
      <c r="C355" s="13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176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</row>
    <row r="356" spans="1:51">
      <c r="A356" s="15"/>
      <c r="B356" s="15"/>
      <c r="C356" s="13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67"/>
      <c r="AM356" s="15"/>
      <c r="AN356" s="176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</row>
    <row r="357" spans="1:51">
      <c r="A357" s="15"/>
      <c r="B357" s="15"/>
      <c r="C357" s="13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176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</row>
    <row r="358" spans="1:51">
      <c r="A358" s="15"/>
      <c r="B358" s="15"/>
      <c r="C358" s="13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67"/>
      <c r="AM358" s="15"/>
      <c r="AN358" s="176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</row>
    <row r="359" spans="1:51">
      <c r="A359" s="15"/>
      <c r="B359" s="15"/>
      <c r="C359" s="13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176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</row>
    <row r="360" spans="1:51">
      <c r="A360" s="15"/>
      <c r="B360" s="15"/>
      <c r="C360" s="13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67"/>
      <c r="AM360" s="15"/>
      <c r="AN360" s="176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</row>
    <row r="361" spans="1:51">
      <c r="A361" s="15"/>
      <c r="B361" s="15"/>
      <c r="C361" s="13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176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</row>
    <row r="362" spans="1:51">
      <c r="A362" s="15"/>
      <c r="B362" s="15"/>
      <c r="C362" s="13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67"/>
      <c r="AM362" s="15"/>
      <c r="AN362" s="176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</row>
    <row r="363" spans="1:51">
      <c r="A363" s="15"/>
      <c r="B363" s="15"/>
      <c r="C363" s="13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176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</row>
    <row r="364" spans="1:51">
      <c r="A364" s="15"/>
      <c r="B364" s="15"/>
      <c r="C364" s="13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67"/>
      <c r="AM364" s="15"/>
      <c r="AN364" s="176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</row>
    <row r="365" spans="1:51">
      <c r="A365" s="15"/>
      <c r="B365" s="15"/>
      <c r="C365" s="13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176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</row>
    <row r="366" spans="1:51">
      <c r="A366" s="15"/>
      <c r="B366" s="15"/>
      <c r="C366" s="13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67"/>
      <c r="AM366" s="15"/>
      <c r="AN366" s="176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</row>
    <row r="367" spans="1:51">
      <c r="A367" s="15"/>
      <c r="B367" s="15"/>
      <c r="C367" s="13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176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</row>
    <row r="368" spans="1:51">
      <c r="A368" s="15"/>
      <c r="B368" s="15"/>
      <c r="C368" s="13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67"/>
      <c r="AM368" s="15"/>
      <c r="AN368" s="176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</row>
    <row r="369" spans="1:51">
      <c r="A369" s="15"/>
      <c r="B369" s="15"/>
      <c r="C369" s="13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176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</row>
    <row r="370" spans="1:51">
      <c r="A370" s="15"/>
      <c r="B370" s="15"/>
      <c r="C370" s="13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67"/>
      <c r="AM370" s="15"/>
      <c r="AN370" s="176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</row>
    <row r="371" spans="1:51">
      <c r="A371" s="15"/>
      <c r="B371" s="15"/>
      <c r="C371" s="13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176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</row>
    <row r="372" spans="1:51">
      <c r="A372" s="15"/>
      <c r="B372" s="15"/>
      <c r="C372" s="13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67"/>
      <c r="AM372" s="15"/>
      <c r="AN372" s="176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</row>
    <row r="373" spans="1:51">
      <c r="A373" s="15"/>
      <c r="B373" s="15"/>
      <c r="C373" s="13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176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</row>
    <row r="374" spans="1:51">
      <c r="A374" s="15"/>
      <c r="B374" s="15"/>
      <c r="C374" s="13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67"/>
      <c r="AM374" s="15"/>
      <c r="AN374" s="176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</row>
    <row r="375" spans="1:51">
      <c r="A375" s="15"/>
      <c r="B375" s="15"/>
      <c r="C375" s="13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176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</row>
    <row r="376" spans="1:51">
      <c r="A376" s="15"/>
      <c r="B376" s="15"/>
      <c r="C376" s="13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67"/>
      <c r="AM376" s="15"/>
      <c r="AN376" s="176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</row>
    <row r="377" spans="1:51">
      <c r="A377" s="15"/>
      <c r="B377" s="15"/>
      <c r="C377" s="13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176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</row>
    <row r="378" spans="1:51">
      <c r="A378" s="15"/>
      <c r="B378" s="15"/>
      <c r="C378" s="13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67"/>
      <c r="AM378" s="15"/>
      <c r="AN378" s="176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</row>
    <row r="379" spans="1:51">
      <c r="A379" s="15"/>
      <c r="B379" s="15"/>
      <c r="C379" s="13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176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</row>
    <row r="380" spans="1:51">
      <c r="A380" s="15"/>
      <c r="B380" s="15"/>
      <c r="C380" s="13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67"/>
      <c r="AM380" s="15"/>
      <c r="AN380" s="176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</row>
    <row r="381" spans="1:51">
      <c r="A381" s="15"/>
      <c r="B381" s="15"/>
      <c r="C381" s="13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176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</row>
    <row r="382" spans="1:51">
      <c r="A382" s="15"/>
      <c r="B382" s="15"/>
      <c r="C382" s="13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67"/>
      <c r="AM382" s="15"/>
      <c r="AN382" s="176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</row>
    <row r="383" spans="1:51">
      <c r="A383" s="15"/>
      <c r="B383" s="15"/>
      <c r="C383" s="13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76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</row>
    <row r="384" spans="1:51">
      <c r="A384" s="15"/>
      <c r="B384" s="15"/>
      <c r="C384" s="13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67"/>
      <c r="AM384" s="15"/>
      <c r="AN384" s="176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</row>
    <row r="385" spans="1:51">
      <c r="A385" s="15"/>
      <c r="B385" s="15"/>
      <c r="C385" s="13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76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</row>
    <row r="386" spans="1:51">
      <c r="A386" s="15"/>
      <c r="B386" s="15"/>
      <c r="C386" s="13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67"/>
      <c r="AM386" s="15"/>
      <c r="AN386" s="176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</row>
    <row r="387" spans="1:51">
      <c r="A387" s="15"/>
      <c r="B387" s="15"/>
      <c r="C387" s="13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76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</row>
    <row r="388" spans="1:51">
      <c r="A388" s="15"/>
      <c r="B388" s="15"/>
      <c r="C388" s="13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67"/>
      <c r="AM388" s="15"/>
      <c r="AN388" s="176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</row>
    <row r="389" spans="1:51">
      <c r="A389" s="15"/>
      <c r="B389" s="15"/>
      <c r="C389" s="13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76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</row>
    <row r="390" spans="1:51">
      <c r="A390" s="15"/>
      <c r="B390" s="15"/>
      <c r="C390" s="13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67"/>
      <c r="AM390" s="15"/>
      <c r="AN390" s="176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</row>
    <row r="391" spans="1:51">
      <c r="A391" s="15"/>
      <c r="B391" s="15"/>
      <c r="C391" s="13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76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</row>
    <row r="392" spans="1:51">
      <c r="A392" s="15"/>
      <c r="B392" s="15"/>
      <c r="C392" s="13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67"/>
      <c r="AM392" s="15"/>
      <c r="AN392" s="176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</row>
    <row r="393" spans="1:51">
      <c r="A393" s="15"/>
      <c r="B393" s="15"/>
      <c r="C393" s="13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76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</row>
    <row r="394" spans="1:51">
      <c r="A394" s="15"/>
      <c r="B394" s="15"/>
      <c r="C394" s="13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67"/>
      <c r="AM394" s="15"/>
      <c r="AN394" s="176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</row>
    <row r="395" spans="1:51">
      <c r="A395" s="15"/>
      <c r="B395" s="15"/>
      <c r="C395" s="13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76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</row>
    <row r="396" spans="1:51">
      <c r="A396" s="15"/>
      <c r="B396" s="15"/>
      <c r="C396" s="13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67"/>
      <c r="AM396" s="15"/>
      <c r="AN396" s="176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</row>
    <row r="397" spans="1:51">
      <c r="A397" s="15"/>
      <c r="B397" s="15"/>
      <c r="C397" s="13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67"/>
      <c r="AM397" s="15"/>
      <c r="AN397" s="176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</row>
    <row r="398" spans="1:51">
      <c r="A398" s="15"/>
      <c r="B398" s="15"/>
      <c r="C398" s="13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67"/>
      <c r="AM398" s="15"/>
      <c r="AN398" s="176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</row>
    <row r="399" spans="1:51">
      <c r="A399" s="15"/>
      <c r="B399" s="15"/>
      <c r="C399" s="13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67"/>
      <c r="AM399" s="15"/>
      <c r="AN399" s="176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</row>
    <row r="400" spans="1:51">
      <c r="A400" s="15"/>
      <c r="B400" s="15"/>
      <c r="C400" s="13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67"/>
      <c r="AM400" s="15"/>
      <c r="AN400" s="176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</row>
    <row r="401" spans="1:51">
      <c r="A401" s="15"/>
      <c r="B401" s="15"/>
      <c r="C401" s="13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76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</row>
    <row r="402" spans="1:51">
      <c r="A402" s="15"/>
      <c r="B402" s="15"/>
      <c r="C402" s="13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67"/>
      <c r="AM402" s="15"/>
      <c r="AN402" s="176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</row>
    <row r="403" spans="1:51">
      <c r="A403" s="15"/>
      <c r="B403" s="15"/>
      <c r="C403" s="13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76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</row>
    <row r="404" spans="1:51">
      <c r="A404" s="15"/>
      <c r="B404" s="15"/>
      <c r="C404" s="13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67"/>
      <c r="AM404" s="15"/>
      <c r="AN404" s="176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</row>
    <row r="405" spans="1:51">
      <c r="A405" s="15"/>
      <c r="B405" s="15"/>
      <c r="C405" s="13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76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</row>
    <row r="406" spans="1:51">
      <c r="A406" s="15"/>
      <c r="B406" s="15"/>
      <c r="C406" s="13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67"/>
      <c r="AM406" s="15"/>
      <c r="AN406" s="176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</row>
    <row r="407" spans="1:51">
      <c r="A407" s="15"/>
      <c r="B407" s="15"/>
      <c r="C407" s="13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  <c r="AM407" s="15"/>
      <c r="AN407" s="176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</row>
    <row r="408" spans="1:51">
      <c r="A408" s="15"/>
      <c r="B408" s="15"/>
      <c r="C408" s="13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5"/>
      <c r="AN408" s="176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</row>
    <row r="409" spans="1:51">
      <c r="A409" s="15"/>
      <c r="B409" s="15"/>
      <c r="C409" s="13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76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</row>
    <row r="410" spans="1:51">
      <c r="A410" s="15"/>
      <c r="B410" s="15"/>
      <c r="C410" s="13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5"/>
      <c r="AN410" s="176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</row>
    <row r="411" spans="1:51">
      <c r="A411" s="15"/>
      <c r="B411" s="15"/>
      <c r="C411" s="13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67"/>
      <c r="AM411" s="15"/>
      <c r="AN411" s="176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</row>
    <row r="412" spans="1:51">
      <c r="A412" s="15"/>
      <c r="B412" s="15"/>
      <c r="C412" s="13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67"/>
      <c r="AM412" s="15"/>
      <c r="AN412" s="176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</row>
    <row r="413" spans="1:51">
      <c r="A413" s="15"/>
      <c r="B413" s="15"/>
      <c r="C413" s="13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67"/>
      <c r="AM413" s="15"/>
      <c r="AN413" s="176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</row>
    <row r="414" spans="1:51">
      <c r="A414" s="15"/>
      <c r="B414" s="15"/>
      <c r="C414" s="13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67"/>
      <c r="AM414" s="15"/>
      <c r="AN414" s="176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</row>
    <row r="415" spans="1:51">
      <c r="A415" s="15"/>
      <c r="B415" s="15"/>
      <c r="C415" s="13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67"/>
      <c r="AM415" s="15"/>
      <c r="AN415" s="176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</row>
    <row r="416" spans="1:51">
      <c r="A416" s="15"/>
      <c r="B416" s="15"/>
      <c r="C416" s="13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67"/>
      <c r="AM416" s="15"/>
      <c r="AN416" s="176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</row>
    <row r="417" spans="1:51">
      <c r="A417" s="15"/>
      <c r="B417" s="15"/>
      <c r="C417" s="13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67"/>
      <c r="AM417" s="15"/>
      <c r="AN417" s="176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</row>
    <row r="418" spans="1:51">
      <c r="A418" s="15"/>
      <c r="B418" s="15"/>
      <c r="C418" s="13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67"/>
      <c r="AM418" s="15"/>
      <c r="AN418" s="176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</row>
    <row r="419" spans="1:51">
      <c r="A419" s="15"/>
      <c r="B419" s="15"/>
      <c r="C419" s="13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67"/>
      <c r="AM419" s="15"/>
      <c r="AN419" s="176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</row>
    <row r="420" spans="1:51">
      <c r="A420" s="15"/>
      <c r="B420" s="15"/>
      <c r="C420" s="13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67"/>
      <c r="AM420" s="15"/>
      <c r="AN420" s="176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</row>
    <row r="421" spans="1:51">
      <c r="A421" s="15"/>
      <c r="B421" s="15"/>
      <c r="C421" s="13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67"/>
      <c r="AM421" s="15"/>
      <c r="AN421" s="176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</row>
    <row r="422" spans="1:51">
      <c r="A422" s="15"/>
      <c r="B422" s="15"/>
      <c r="C422" s="13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67"/>
      <c r="AM422" s="15"/>
      <c r="AN422" s="176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</row>
    <row r="423" spans="1:51">
      <c r="A423" s="15"/>
      <c r="B423" s="15"/>
      <c r="C423" s="13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67"/>
      <c r="AM423" s="15"/>
      <c r="AN423" s="176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</row>
    <row r="424" spans="1:51">
      <c r="A424" s="15"/>
      <c r="B424" s="15"/>
      <c r="C424" s="13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67"/>
      <c r="AM424" s="15"/>
      <c r="AN424" s="176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</row>
    <row r="425" spans="1:51">
      <c r="A425" s="15"/>
      <c r="B425" s="15"/>
      <c r="C425" s="13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67"/>
      <c r="AM425" s="15"/>
      <c r="AN425" s="176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</row>
    <row r="426" spans="1:51">
      <c r="A426" s="15"/>
      <c r="B426" s="15"/>
      <c r="C426" s="13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67"/>
      <c r="AM426" s="15"/>
      <c r="AN426" s="176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</row>
    <row r="427" spans="1:51">
      <c r="A427" s="15"/>
      <c r="B427" s="15"/>
      <c r="C427" s="13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67"/>
      <c r="AM427" s="15"/>
      <c r="AN427" s="176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</row>
    <row r="428" spans="1:51">
      <c r="A428" s="15"/>
      <c r="B428" s="15"/>
      <c r="C428" s="13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67"/>
      <c r="AM428" s="15"/>
      <c r="AN428" s="176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</row>
    <row r="429" spans="1:51">
      <c r="A429" s="15"/>
      <c r="B429" s="15"/>
      <c r="C429" s="13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67"/>
      <c r="AM429" s="15"/>
      <c r="AN429" s="176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</row>
    <row r="430" spans="1:51">
      <c r="A430" s="15"/>
      <c r="B430" s="15"/>
      <c r="C430" s="13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67"/>
      <c r="AM430" s="15"/>
      <c r="AN430" s="176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</row>
    <row r="431" spans="1:51">
      <c r="A431" s="15"/>
      <c r="B431" s="15"/>
      <c r="C431" s="13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67"/>
      <c r="AM431" s="15"/>
      <c r="AN431" s="176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</row>
    <row r="432" spans="1:51">
      <c r="A432" s="15"/>
      <c r="B432" s="15"/>
      <c r="C432" s="13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67"/>
      <c r="AM432" s="15"/>
      <c r="AN432" s="176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</row>
    <row r="433" spans="1:51">
      <c r="A433" s="15"/>
      <c r="B433" s="15"/>
      <c r="C433" s="13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67"/>
      <c r="AM433" s="15"/>
      <c r="AN433" s="176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</row>
    <row r="434" spans="1:51">
      <c r="A434" s="15"/>
      <c r="B434" s="15"/>
      <c r="C434" s="13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67"/>
      <c r="AM434" s="15"/>
      <c r="AN434" s="176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</row>
    <row r="435" spans="1:51">
      <c r="A435" s="15"/>
      <c r="B435" s="15"/>
      <c r="C435" s="13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67"/>
      <c r="AM435" s="15"/>
      <c r="AN435" s="176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</row>
    <row r="436" spans="1:51">
      <c r="A436" s="15"/>
      <c r="B436" s="15"/>
      <c r="C436" s="13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67"/>
      <c r="AM436" s="15"/>
      <c r="AN436" s="176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</row>
    <row r="437" spans="1:51">
      <c r="A437" s="15"/>
      <c r="B437" s="15"/>
      <c r="C437" s="13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67"/>
      <c r="AM437" s="15"/>
      <c r="AN437" s="176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</row>
    <row r="438" spans="1:51">
      <c r="A438" s="15"/>
      <c r="B438" s="15"/>
      <c r="C438" s="13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67"/>
      <c r="AM438" s="15"/>
      <c r="AN438" s="176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</row>
    <row r="439" spans="1:51">
      <c r="A439" s="15"/>
      <c r="B439" s="15"/>
      <c r="C439" s="13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67"/>
      <c r="AM439" s="15"/>
      <c r="AN439" s="176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</row>
    <row r="440" spans="1:51">
      <c r="A440" s="15"/>
      <c r="B440" s="15"/>
      <c r="C440" s="13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67"/>
      <c r="AM440" s="15"/>
      <c r="AN440" s="176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</row>
    <row r="441" spans="1:51">
      <c r="A441" s="15"/>
      <c r="B441" s="15"/>
      <c r="C441" s="13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67"/>
      <c r="AM441" s="15"/>
      <c r="AN441" s="176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</row>
    <row r="442" spans="1:51">
      <c r="A442" s="15"/>
      <c r="B442" s="15"/>
      <c r="C442" s="13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67"/>
      <c r="AM442" s="15"/>
      <c r="AN442" s="176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</row>
    <row r="443" spans="1:51">
      <c r="A443" s="15"/>
      <c r="B443" s="15"/>
      <c r="C443" s="13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67"/>
      <c r="AM443" s="15"/>
      <c r="AN443" s="176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</row>
    <row r="444" spans="1:51">
      <c r="A444" s="15"/>
      <c r="B444" s="15"/>
      <c r="C444" s="13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67"/>
      <c r="AM444" s="15"/>
      <c r="AN444" s="176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</row>
    <row r="445" spans="1:51">
      <c r="A445" s="15"/>
      <c r="B445" s="15"/>
      <c r="C445" s="13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67"/>
      <c r="AM445" s="15"/>
      <c r="AN445" s="176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</row>
    <row r="446" spans="1:51">
      <c r="A446" s="15"/>
      <c r="B446" s="15"/>
      <c r="C446" s="13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67"/>
      <c r="AM446" s="15"/>
      <c r="AN446" s="176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</row>
    <row r="447" spans="1:51">
      <c r="A447" s="15"/>
      <c r="B447" s="15"/>
      <c r="C447" s="13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67"/>
      <c r="AM447" s="15"/>
      <c r="AN447" s="176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</row>
    <row r="448" spans="1:51">
      <c r="A448" s="15"/>
      <c r="B448" s="15"/>
      <c r="C448" s="13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67"/>
      <c r="AM448" s="15"/>
      <c r="AN448" s="176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</row>
    <row r="449" spans="1:51">
      <c r="A449" s="15"/>
      <c r="B449" s="15"/>
      <c r="C449" s="13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67"/>
      <c r="AM449" s="15"/>
      <c r="AN449" s="176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</row>
    <row r="450" spans="1:51">
      <c r="A450" s="15"/>
      <c r="B450" s="15"/>
      <c r="C450" s="13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67"/>
      <c r="AM450" s="15"/>
      <c r="AN450" s="176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</row>
    <row r="451" spans="1:51">
      <c r="A451" s="15"/>
      <c r="B451" s="15"/>
      <c r="C451" s="13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67"/>
      <c r="AM451" s="15"/>
      <c r="AN451" s="176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</row>
    <row r="452" spans="1:51">
      <c r="A452" s="15"/>
      <c r="B452" s="15"/>
      <c r="C452" s="13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67"/>
      <c r="AM452" s="15"/>
      <c r="AN452" s="176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</row>
    <row r="453" spans="1:51">
      <c r="A453" s="15"/>
      <c r="B453" s="15"/>
      <c r="C453" s="13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67"/>
      <c r="AM453" s="15"/>
      <c r="AN453" s="176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</row>
    <row r="454" spans="1:51">
      <c r="A454" s="15"/>
      <c r="B454" s="15"/>
      <c r="C454" s="13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67"/>
      <c r="AM454" s="15"/>
      <c r="AN454" s="176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</row>
    <row r="455" spans="1:51">
      <c r="A455" s="15"/>
      <c r="B455" s="15"/>
      <c r="C455" s="13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67"/>
      <c r="AM455" s="15"/>
      <c r="AN455" s="176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</row>
    <row r="456" spans="1:51">
      <c r="A456" s="15"/>
      <c r="B456" s="15"/>
      <c r="C456" s="13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67"/>
      <c r="AM456" s="15"/>
      <c r="AN456" s="176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</row>
    <row r="457" spans="1:51">
      <c r="A457" s="15"/>
      <c r="B457" s="15"/>
      <c r="C457" s="13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67"/>
      <c r="AM457" s="15"/>
      <c r="AN457" s="176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</row>
    <row r="458" spans="1:51">
      <c r="A458" s="15"/>
      <c r="B458" s="15"/>
      <c r="C458" s="13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67"/>
      <c r="AM458" s="15"/>
      <c r="AN458" s="176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</row>
    <row r="459" spans="1:51">
      <c r="A459" s="15"/>
      <c r="B459" s="15"/>
      <c r="C459" s="13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67"/>
      <c r="AM459" s="15"/>
      <c r="AN459" s="176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</row>
    <row r="460" spans="1:51">
      <c r="A460" s="15"/>
      <c r="B460" s="15"/>
      <c r="C460" s="13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67"/>
      <c r="AM460" s="15"/>
      <c r="AN460" s="176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</row>
    <row r="461" spans="1:51">
      <c r="A461" s="15"/>
      <c r="B461" s="15"/>
      <c r="C461" s="13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67"/>
      <c r="AM461" s="15"/>
      <c r="AN461" s="176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</row>
    <row r="462" spans="1:51">
      <c r="A462" s="15"/>
      <c r="B462" s="15"/>
      <c r="C462" s="13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67"/>
      <c r="AM462" s="15"/>
      <c r="AN462" s="176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</row>
    <row r="463" spans="1:51">
      <c r="A463" s="15"/>
      <c r="B463" s="15"/>
      <c r="C463" s="13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67"/>
      <c r="AM463" s="15"/>
      <c r="AN463" s="176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</row>
    <row r="464" spans="1:51">
      <c r="A464" s="15"/>
      <c r="B464" s="15"/>
      <c r="C464" s="13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67"/>
      <c r="AM464" s="15"/>
      <c r="AN464" s="176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</row>
    <row r="465" spans="1:51">
      <c r="A465" s="15"/>
      <c r="B465" s="15"/>
      <c r="C465" s="13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67"/>
      <c r="AM465" s="15"/>
      <c r="AN465" s="176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</row>
    <row r="466" spans="1:51">
      <c r="A466" s="15"/>
      <c r="B466" s="15"/>
      <c r="C466" s="13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67"/>
      <c r="AM466" s="15"/>
      <c r="AN466" s="176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</row>
    <row r="467" spans="1:51">
      <c r="A467" s="15"/>
      <c r="B467" s="15"/>
      <c r="C467" s="13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67"/>
      <c r="AM467" s="15"/>
      <c r="AN467" s="176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</row>
    <row r="468" spans="1:51">
      <c r="A468" s="15"/>
      <c r="B468" s="15"/>
      <c r="C468" s="13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67"/>
      <c r="AM468" s="15"/>
      <c r="AN468" s="176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</row>
    <row r="469" spans="1:51">
      <c r="A469" s="15"/>
      <c r="B469" s="15"/>
      <c r="C469" s="13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67"/>
      <c r="AM469" s="15"/>
      <c r="AN469" s="176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</row>
    <row r="470" spans="1:51">
      <c r="A470" s="15"/>
      <c r="B470" s="15"/>
      <c r="C470" s="13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67"/>
      <c r="AM470" s="15"/>
      <c r="AN470" s="176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</row>
    <row r="471" spans="1:51">
      <c r="A471" s="15"/>
      <c r="B471" s="15"/>
      <c r="C471" s="13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67"/>
      <c r="AM471" s="15"/>
      <c r="AN471" s="176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</row>
    <row r="472" spans="1:51">
      <c r="A472" s="15"/>
      <c r="B472" s="15"/>
      <c r="C472" s="13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67"/>
      <c r="AM472" s="15"/>
      <c r="AN472" s="176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</row>
    <row r="473" spans="1:51">
      <c r="A473" s="15"/>
      <c r="B473" s="15"/>
      <c r="C473" s="13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67"/>
      <c r="AM473" s="15"/>
      <c r="AN473" s="176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</row>
    <row r="474" spans="1:51">
      <c r="A474" s="15"/>
      <c r="B474" s="15"/>
      <c r="C474" s="13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67"/>
      <c r="AM474" s="15"/>
      <c r="AN474" s="176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</row>
    <row r="475" spans="1:51">
      <c r="A475" s="15"/>
      <c r="B475" s="15"/>
      <c r="C475" s="13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67"/>
      <c r="AM475" s="15"/>
      <c r="AN475" s="176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</row>
    <row r="476" spans="1:51">
      <c r="A476" s="15"/>
      <c r="B476" s="15"/>
      <c r="C476" s="13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67"/>
      <c r="AM476" s="15"/>
      <c r="AN476" s="176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</row>
    <row r="477" spans="1:51">
      <c r="A477" s="15"/>
      <c r="B477" s="15"/>
      <c r="C477" s="13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67"/>
      <c r="AM477" s="15"/>
      <c r="AN477" s="176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</row>
    <row r="478" spans="1:51">
      <c r="A478" s="15"/>
      <c r="B478" s="15"/>
      <c r="C478" s="13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67"/>
      <c r="AM478" s="15"/>
      <c r="AN478" s="176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</row>
    <row r="479" spans="1:51">
      <c r="A479" s="15"/>
      <c r="B479" s="15"/>
      <c r="C479" s="13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67"/>
      <c r="AM479" s="15"/>
      <c r="AN479" s="176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</row>
    <row r="480" spans="1:51">
      <c r="A480" s="15"/>
      <c r="B480" s="15"/>
      <c r="C480" s="13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67"/>
      <c r="AM480" s="15"/>
      <c r="AN480" s="176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</row>
    <row r="481" spans="1:51">
      <c r="A481" s="15"/>
      <c r="B481" s="15"/>
      <c r="C481" s="13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67"/>
      <c r="AM481" s="15"/>
      <c r="AN481" s="176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</row>
    <row r="482" spans="1:51">
      <c r="A482" s="15"/>
      <c r="B482" s="15"/>
      <c r="C482" s="13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67"/>
      <c r="AM482" s="15"/>
      <c r="AN482" s="176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</row>
    <row r="483" spans="1:51">
      <c r="A483" s="15"/>
      <c r="B483" s="15"/>
      <c r="C483" s="13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67"/>
      <c r="AM483" s="15"/>
      <c r="AN483" s="176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</row>
    <row r="484" spans="1:51">
      <c r="A484" s="15"/>
      <c r="B484" s="15"/>
      <c r="C484" s="13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67"/>
      <c r="AM484" s="15"/>
      <c r="AN484" s="176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</row>
    <row r="485" spans="1:51">
      <c r="A485" s="15"/>
      <c r="B485" s="15"/>
      <c r="C485" s="13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67"/>
      <c r="AM485" s="15"/>
      <c r="AN485" s="176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</row>
    <row r="486" spans="1:51">
      <c r="A486" s="15"/>
      <c r="B486" s="15"/>
      <c r="C486" s="13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67"/>
      <c r="AM486" s="15"/>
      <c r="AN486" s="176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</row>
    <row r="487" spans="1:51">
      <c r="A487" s="15"/>
      <c r="B487" s="15"/>
      <c r="C487" s="13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67"/>
      <c r="AM487" s="15"/>
      <c r="AN487" s="176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</row>
    <row r="488" spans="1:51">
      <c r="A488" s="15"/>
      <c r="B488" s="15"/>
      <c r="C488" s="13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67"/>
      <c r="AM488" s="15"/>
      <c r="AN488" s="176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</row>
    <row r="489" spans="1:51">
      <c r="A489" s="15"/>
      <c r="B489" s="15"/>
      <c r="C489" s="13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67"/>
      <c r="AM489" s="15"/>
      <c r="AN489" s="176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</row>
    <row r="490" spans="1:51">
      <c r="A490" s="15"/>
      <c r="B490" s="15"/>
      <c r="C490" s="13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67"/>
      <c r="AM490" s="15"/>
      <c r="AN490" s="176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</row>
    <row r="491" spans="1:51">
      <c r="A491" s="15"/>
      <c r="B491" s="15"/>
      <c r="C491" s="13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67"/>
      <c r="AM491" s="15"/>
      <c r="AN491" s="176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</row>
    <row r="492" spans="1:51">
      <c r="A492" s="15"/>
      <c r="B492" s="15"/>
      <c r="C492" s="13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67"/>
      <c r="AM492" s="15"/>
      <c r="AN492" s="176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</row>
    <row r="493" spans="1:51">
      <c r="A493" s="15"/>
      <c r="B493" s="15"/>
      <c r="C493" s="13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67"/>
      <c r="AM493" s="15"/>
      <c r="AN493" s="176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</row>
    <row r="494" spans="1:51">
      <c r="A494" s="15"/>
      <c r="B494" s="15"/>
      <c r="C494" s="13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67"/>
      <c r="AM494" s="15"/>
      <c r="AN494" s="176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</row>
    <row r="495" spans="1:51">
      <c r="A495" s="15"/>
      <c r="B495" s="15"/>
      <c r="C495" s="13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67"/>
      <c r="AM495" s="15"/>
      <c r="AN495" s="176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</row>
    <row r="496" spans="1:51">
      <c r="A496" s="15"/>
      <c r="B496" s="15"/>
      <c r="C496" s="13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67"/>
      <c r="AM496" s="15"/>
      <c r="AN496" s="176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</row>
    <row r="497" spans="1:51">
      <c r="A497" s="15"/>
      <c r="B497" s="15"/>
      <c r="C497" s="13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67"/>
      <c r="AM497" s="15"/>
      <c r="AN497" s="176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</row>
    <row r="498" spans="1:51">
      <c r="A498" s="15"/>
      <c r="B498" s="15"/>
      <c r="C498" s="13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67"/>
      <c r="AM498" s="15"/>
      <c r="AN498" s="176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</row>
    <row r="499" spans="1:51">
      <c r="A499" s="15"/>
      <c r="B499" s="15"/>
      <c r="C499" s="13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67"/>
      <c r="AM499" s="15"/>
      <c r="AN499" s="176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</row>
    <row r="500" spans="1:51">
      <c r="A500" s="15"/>
      <c r="B500" s="15"/>
      <c r="C500" s="13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67"/>
      <c r="AM500" s="15"/>
      <c r="AN500" s="176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</row>
    <row r="501" spans="1:51">
      <c r="A501" s="15"/>
      <c r="B501" s="15"/>
      <c r="C501" s="13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67"/>
      <c r="AM501" s="15"/>
      <c r="AN501" s="176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</row>
    <row r="502" spans="1:51">
      <c r="A502" s="15"/>
      <c r="B502" s="15"/>
      <c r="C502" s="13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67"/>
      <c r="AM502" s="15"/>
      <c r="AN502" s="176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</row>
    <row r="503" spans="1:51">
      <c r="A503" s="15"/>
      <c r="B503" s="15"/>
      <c r="C503" s="13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67"/>
      <c r="AM503" s="15"/>
      <c r="AN503" s="176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</row>
    <row r="504" spans="1:51">
      <c r="A504" s="15"/>
      <c r="B504" s="15"/>
      <c r="C504" s="13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67"/>
      <c r="AM504" s="15"/>
      <c r="AN504" s="176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</row>
    <row r="505" spans="1:51">
      <c r="A505" s="15"/>
      <c r="B505" s="15"/>
      <c r="C505" s="13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67"/>
      <c r="AM505" s="15"/>
      <c r="AN505" s="176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</row>
    <row r="506" spans="1:51">
      <c r="A506" s="15"/>
      <c r="B506" s="15"/>
      <c r="C506" s="13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67"/>
      <c r="AM506" s="15"/>
      <c r="AN506" s="176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</row>
    <row r="507" spans="1:51">
      <c r="A507" s="15"/>
      <c r="B507" s="15"/>
      <c r="C507" s="13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67"/>
      <c r="AM507" s="15"/>
      <c r="AN507" s="176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</row>
    <row r="508" spans="1:51">
      <c r="A508" s="15"/>
      <c r="B508" s="15"/>
      <c r="C508" s="13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67"/>
      <c r="AM508" s="15"/>
      <c r="AN508" s="176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</row>
    <row r="509" spans="1:51">
      <c r="A509" s="15"/>
      <c r="B509" s="15"/>
      <c r="C509" s="13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67"/>
      <c r="AM509" s="15"/>
      <c r="AN509" s="176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</row>
    <row r="510" spans="1:51">
      <c r="A510" s="15"/>
      <c r="B510" s="15"/>
      <c r="C510" s="13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67"/>
      <c r="AM510" s="15"/>
      <c r="AN510" s="176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</row>
    <row r="511" spans="1:51">
      <c r="A511" s="15"/>
      <c r="B511" s="15"/>
      <c r="C511" s="13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67"/>
      <c r="AM511" s="15"/>
      <c r="AN511" s="176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</row>
    <row r="512" spans="1:51">
      <c r="A512" s="15"/>
      <c r="B512" s="15"/>
      <c r="C512" s="13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67"/>
      <c r="AM512" s="15"/>
      <c r="AN512" s="176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</row>
    <row r="513" spans="1:51">
      <c r="A513" s="15"/>
      <c r="B513" s="15"/>
      <c r="C513" s="13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67"/>
      <c r="AM513" s="15"/>
      <c r="AN513" s="176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</row>
    <row r="514" spans="1:51">
      <c r="A514" s="15"/>
      <c r="B514" s="15"/>
      <c r="C514" s="13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67"/>
      <c r="AM514" s="15"/>
      <c r="AN514" s="176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</row>
    <row r="515" spans="1:51">
      <c r="A515" s="15"/>
      <c r="B515" s="15"/>
      <c r="C515" s="13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67"/>
      <c r="AM515" s="15"/>
      <c r="AN515" s="176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</row>
    <row r="516" spans="1:51">
      <c r="A516" s="15"/>
      <c r="B516" s="15"/>
      <c r="C516" s="13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67"/>
      <c r="AM516" s="15"/>
      <c r="AN516" s="176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</row>
    <row r="517" spans="1:51">
      <c r="A517" s="15"/>
      <c r="B517" s="15"/>
      <c r="C517" s="13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67"/>
      <c r="AM517" s="15"/>
      <c r="AN517" s="176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</row>
    <row r="518" spans="1:51">
      <c r="A518" s="15"/>
      <c r="B518" s="15"/>
      <c r="C518" s="13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67"/>
      <c r="AM518" s="15"/>
      <c r="AN518" s="176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</row>
    <row r="519" spans="1:51">
      <c r="A519" s="15"/>
      <c r="B519" s="15"/>
      <c r="C519" s="13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67"/>
      <c r="AM519" s="15"/>
      <c r="AN519" s="176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</row>
    <row r="520" spans="1:51">
      <c r="A520" s="15"/>
      <c r="B520" s="15"/>
      <c r="C520" s="13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67"/>
      <c r="AM520" s="15"/>
      <c r="AN520" s="176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</row>
    <row r="521" spans="1:51">
      <c r="A521" s="15"/>
      <c r="B521" s="15"/>
      <c r="C521" s="13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67"/>
      <c r="AM521" s="15"/>
      <c r="AN521" s="176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</row>
    <row r="522" spans="1:51">
      <c r="A522" s="15"/>
      <c r="B522" s="15"/>
      <c r="C522" s="13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67"/>
      <c r="AM522" s="15"/>
      <c r="AN522" s="176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</row>
    <row r="523" spans="1:51">
      <c r="A523" s="15"/>
      <c r="B523" s="15"/>
      <c r="C523" s="13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67"/>
      <c r="AM523" s="15"/>
      <c r="AN523" s="176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</row>
    <row r="524" spans="1:51">
      <c r="A524" s="15"/>
      <c r="B524" s="15"/>
      <c r="C524" s="13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67"/>
      <c r="AM524" s="15"/>
      <c r="AN524" s="176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</row>
    <row r="525" spans="1:51">
      <c r="A525" s="15"/>
      <c r="B525" s="15"/>
      <c r="C525" s="13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67"/>
      <c r="AM525" s="15"/>
      <c r="AN525" s="176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</row>
    <row r="526" spans="1:51">
      <c r="A526" s="15"/>
      <c r="B526" s="15"/>
      <c r="C526" s="13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67"/>
      <c r="AM526" s="15"/>
      <c r="AN526" s="176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</row>
    <row r="527" spans="1:51">
      <c r="A527" s="15"/>
      <c r="B527" s="15"/>
      <c r="C527" s="13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67"/>
      <c r="AM527" s="15"/>
      <c r="AN527" s="176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</row>
    <row r="528" spans="1:51">
      <c r="A528" s="15"/>
      <c r="B528" s="15"/>
      <c r="C528" s="13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67"/>
      <c r="AM528" s="15"/>
      <c r="AN528" s="176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</row>
    <row r="529" spans="1:51">
      <c r="A529" s="15"/>
      <c r="B529" s="15"/>
      <c r="C529" s="13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67"/>
      <c r="AM529" s="15"/>
      <c r="AN529" s="176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</row>
    <row r="530" spans="1:51">
      <c r="A530" s="15"/>
      <c r="B530" s="15"/>
      <c r="C530" s="13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67"/>
      <c r="AM530" s="15"/>
      <c r="AN530" s="176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</row>
    <row r="531" spans="1:51">
      <c r="A531" s="15"/>
      <c r="B531" s="15"/>
      <c r="C531" s="13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67"/>
      <c r="AM531" s="15"/>
      <c r="AN531" s="176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</row>
    <row r="532" spans="1:51">
      <c r="A532" s="15"/>
      <c r="B532" s="15"/>
      <c r="C532" s="13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67"/>
      <c r="AM532" s="15"/>
      <c r="AN532" s="176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</row>
    <row r="533" spans="1:51">
      <c r="A533" s="15"/>
      <c r="B533" s="15"/>
      <c r="C533" s="13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67"/>
      <c r="AM533" s="15"/>
      <c r="AN533" s="176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</row>
    <row r="534" spans="1:51">
      <c r="A534" s="15"/>
      <c r="B534" s="15"/>
      <c r="C534" s="13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67"/>
      <c r="AM534" s="15"/>
      <c r="AN534" s="176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</row>
    <row r="535" spans="1:51">
      <c r="A535" s="15"/>
      <c r="B535" s="15"/>
      <c r="C535" s="13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67"/>
      <c r="AM535" s="15"/>
      <c r="AN535" s="176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</row>
    <row r="536" spans="1:51">
      <c r="A536" s="15"/>
      <c r="B536" s="15"/>
      <c r="C536" s="13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67"/>
      <c r="AM536" s="15"/>
      <c r="AN536" s="176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</row>
    <row r="537" spans="1:51">
      <c r="A537" s="15"/>
      <c r="B537" s="15"/>
      <c r="C537" s="13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67"/>
      <c r="AM537" s="15"/>
      <c r="AN537" s="176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</row>
    <row r="538" spans="1:51">
      <c r="A538" s="15"/>
      <c r="B538" s="15"/>
      <c r="C538" s="13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67"/>
      <c r="AM538" s="15"/>
      <c r="AN538" s="176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</row>
    <row r="539" spans="1:51">
      <c r="A539" s="15"/>
      <c r="B539" s="15"/>
      <c r="C539" s="13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67"/>
      <c r="AM539" s="15"/>
      <c r="AN539" s="176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</row>
    <row r="540" spans="1:51">
      <c r="A540" s="15"/>
      <c r="B540" s="15"/>
      <c r="C540" s="13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67"/>
      <c r="AM540" s="15"/>
      <c r="AN540" s="176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</row>
    <row r="541" spans="1:51">
      <c r="A541" s="15"/>
      <c r="B541" s="15"/>
      <c r="C541" s="13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67"/>
      <c r="AM541" s="15"/>
      <c r="AN541" s="176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</row>
    <row r="542" spans="1:51">
      <c r="A542" s="15"/>
      <c r="B542" s="15"/>
      <c r="C542" s="13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67"/>
      <c r="AM542" s="15"/>
      <c r="AN542" s="176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</row>
    <row r="543" spans="1:51">
      <c r="A543" s="15"/>
      <c r="B543" s="15"/>
      <c r="C543" s="13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67"/>
      <c r="AM543" s="15"/>
      <c r="AN543" s="176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</row>
    <row r="544" spans="1:51">
      <c r="A544" s="15"/>
      <c r="B544" s="15"/>
      <c r="C544" s="13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67"/>
      <c r="AM544" s="15"/>
      <c r="AN544" s="176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</row>
    <row r="545" spans="1:51">
      <c r="A545" s="15"/>
      <c r="B545" s="15"/>
      <c r="C545" s="13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67"/>
      <c r="AM545" s="15"/>
      <c r="AN545" s="176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</row>
    <row r="546" spans="1:51">
      <c r="A546" s="15"/>
      <c r="B546" s="15"/>
      <c r="C546" s="13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67"/>
      <c r="AM546" s="15"/>
      <c r="AN546" s="176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</row>
    <row r="547" spans="1:51">
      <c r="A547" s="15"/>
      <c r="B547" s="15"/>
      <c r="C547" s="13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67"/>
      <c r="AM547" s="15"/>
      <c r="AN547" s="176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</row>
    <row r="548" spans="1:51">
      <c r="A548" s="15"/>
      <c r="B548" s="15"/>
      <c r="C548" s="13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67"/>
      <c r="AM548" s="15"/>
      <c r="AN548" s="176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</row>
    <row r="549" spans="1:51">
      <c r="A549" s="15"/>
      <c r="B549" s="15"/>
      <c r="C549" s="13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67"/>
      <c r="AM549" s="15"/>
      <c r="AN549" s="176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</row>
    <row r="550" spans="1:51">
      <c r="A550" s="15"/>
      <c r="B550" s="15"/>
      <c r="C550" s="13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67"/>
      <c r="AM550" s="15"/>
      <c r="AN550" s="176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</row>
    <row r="551" spans="1:51">
      <c r="A551" s="15"/>
      <c r="B551" s="15"/>
      <c r="C551" s="13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67"/>
      <c r="AM551" s="15"/>
      <c r="AN551" s="176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</row>
    <row r="552" spans="1:51">
      <c r="A552" s="15"/>
      <c r="B552" s="15"/>
      <c r="C552" s="13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67"/>
      <c r="AM552" s="15"/>
      <c r="AN552" s="176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</row>
    <row r="553" spans="1:51">
      <c r="A553" s="15"/>
      <c r="B553" s="15"/>
      <c r="C553" s="13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67"/>
      <c r="AM553" s="15"/>
      <c r="AN553" s="176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</row>
    <row r="554" spans="1:51">
      <c r="A554" s="15"/>
      <c r="B554" s="15"/>
      <c r="C554" s="13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67"/>
      <c r="AM554" s="15"/>
      <c r="AN554" s="176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</row>
    <row r="555" spans="1:51">
      <c r="A555" s="15"/>
      <c r="B555" s="15"/>
      <c r="C555" s="13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67"/>
      <c r="AM555" s="15"/>
      <c r="AN555" s="176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</row>
    <row r="556" spans="1:51">
      <c r="A556" s="15"/>
      <c r="B556" s="15"/>
      <c r="C556" s="13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67"/>
      <c r="AM556" s="15"/>
      <c r="AN556" s="176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</row>
    <row r="557" spans="1:51">
      <c r="A557" s="15"/>
      <c r="B557" s="15"/>
      <c r="C557" s="13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67"/>
      <c r="AM557" s="15"/>
      <c r="AN557" s="176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</row>
    <row r="558" spans="1:51">
      <c r="A558" s="15"/>
      <c r="B558" s="15"/>
      <c r="C558" s="13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67"/>
      <c r="AM558" s="15"/>
      <c r="AN558" s="176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</row>
    <row r="559" spans="1:51">
      <c r="A559" s="15"/>
      <c r="B559" s="15"/>
      <c r="C559" s="13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67"/>
      <c r="AM559" s="15"/>
      <c r="AN559" s="176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</row>
    <row r="560" spans="1:51">
      <c r="A560" s="15"/>
      <c r="B560" s="15"/>
      <c r="C560" s="13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67"/>
      <c r="AM560" s="15"/>
      <c r="AN560" s="176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</row>
    <row r="561" spans="1:51">
      <c r="A561" s="15"/>
      <c r="B561" s="15"/>
      <c r="C561" s="13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67"/>
      <c r="AM561" s="15"/>
      <c r="AN561" s="176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</row>
    <row r="562" spans="1:51">
      <c r="A562" s="15"/>
      <c r="B562" s="15"/>
      <c r="C562" s="13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67"/>
      <c r="AM562" s="15"/>
      <c r="AN562" s="176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</row>
    <row r="563" spans="1:51">
      <c r="A563" s="15"/>
      <c r="B563" s="15"/>
      <c r="C563" s="13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67"/>
      <c r="AM563" s="15"/>
      <c r="AN563" s="176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</row>
    <row r="564" spans="1:51">
      <c r="A564" s="15"/>
      <c r="B564" s="15"/>
      <c r="C564" s="13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67"/>
      <c r="AM564" s="15"/>
      <c r="AN564" s="176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</row>
    <row r="565" spans="1:51">
      <c r="A565" s="15"/>
      <c r="B565" s="15"/>
      <c r="C565" s="13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67"/>
      <c r="AM565" s="15"/>
      <c r="AN565" s="176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</row>
    <row r="566" spans="1:51">
      <c r="A566" s="15"/>
      <c r="B566" s="15"/>
      <c r="C566" s="13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67"/>
      <c r="AM566" s="15"/>
      <c r="AN566" s="176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</row>
    <row r="567" spans="1:51">
      <c r="A567" s="15"/>
      <c r="B567" s="15"/>
      <c r="C567" s="13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67"/>
      <c r="AM567" s="15"/>
      <c r="AN567" s="176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</row>
    <row r="568" spans="1:51">
      <c r="A568" s="15"/>
      <c r="B568" s="15"/>
      <c r="C568" s="13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67"/>
      <c r="AM568" s="15"/>
      <c r="AN568" s="176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</row>
    <row r="569" spans="1:51">
      <c r="A569" s="15"/>
      <c r="B569" s="15"/>
      <c r="C569" s="13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67"/>
      <c r="AM569" s="15"/>
      <c r="AN569" s="176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</row>
    <row r="570" spans="1:51">
      <c r="A570" s="15"/>
      <c r="B570" s="15"/>
      <c r="C570" s="13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67"/>
      <c r="AM570" s="15"/>
      <c r="AN570" s="176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</row>
    <row r="571" spans="1:51">
      <c r="A571" s="15"/>
      <c r="B571" s="15"/>
      <c r="C571" s="13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67"/>
      <c r="AM571" s="15"/>
      <c r="AN571" s="176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</row>
    <row r="572" spans="1:51">
      <c r="A572" s="15"/>
      <c r="B572" s="15"/>
      <c r="C572" s="13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67"/>
      <c r="AM572" s="15"/>
      <c r="AN572" s="176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</row>
    <row r="573" spans="1:51">
      <c r="A573" s="15"/>
      <c r="B573" s="15"/>
      <c r="C573" s="13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67"/>
      <c r="AM573" s="15"/>
      <c r="AN573" s="176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</row>
    <row r="574" spans="1:51">
      <c r="A574" s="15"/>
      <c r="B574" s="15"/>
      <c r="C574" s="13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67"/>
      <c r="AM574" s="15"/>
      <c r="AN574" s="176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</row>
    <row r="575" spans="1:51">
      <c r="A575" s="15"/>
      <c r="B575" s="15"/>
      <c r="C575" s="13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67"/>
      <c r="AM575" s="15"/>
      <c r="AN575" s="176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</row>
    <row r="576" spans="1:51">
      <c r="A576" s="15"/>
      <c r="B576" s="15"/>
      <c r="C576" s="13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67"/>
      <c r="AM576" s="15"/>
      <c r="AN576" s="176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</row>
    <row r="577" spans="1:51">
      <c r="A577" s="15"/>
      <c r="B577" s="15"/>
      <c r="C577" s="13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67"/>
      <c r="AM577" s="15"/>
      <c r="AN577" s="176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</row>
    <row r="578" spans="1:51">
      <c r="A578" s="15"/>
      <c r="B578" s="15"/>
      <c r="C578" s="13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67"/>
      <c r="AM578" s="15"/>
      <c r="AN578" s="176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</row>
    <row r="579" spans="1:51">
      <c r="A579" s="15"/>
      <c r="B579" s="15"/>
      <c r="C579" s="13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67"/>
      <c r="AM579" s="15"/>
      <c r="AN579" s="176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</row>
    <row r="580" spans="1:51">
      <c r="A580" s="15"/>
      <c r="B580" s="15"/>
      <c r="C580" s="13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67"/>
      <c r="AM580" s="15"/>
      <c r="AN580" s="176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</row>
    <row r="581" spans="1:51">
      <c r="A581" s="15"/>
      <c r="B581" s="15"/>
      <c r="C581" s="13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67"/>
      <c r="AM581" s="15"/>
      <c r="AN581" s="176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</row>
    <row r="582" spans="1:51">
      <c r="A582" s="15"/>
      <c r="B582" s="15"/>
      <c r="C582" s="13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67"/>
      <c r="AM582" s="15"/>
      <c r="AN582" s="176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</row>
    <row r="583" spans="1:51">
      <c r="A583" s="15"/>
      <c r="B583" s="15"/>
      <c r="C583" s="13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67"/>
      <c r="AM583" s="15"/>
      <c r="AN583" s="176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</row>
    <row r="584" spans="1:51">
      <c r="A584" s="15"/>
      <c r="B584" s="15"/>
      <c r="C584" s="13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67"/>
      <c r="AM584" s="15"/>
      <c r="AN584" s="176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</row>
    <row r="585" spans="1:51">
      <c r="A585" s="15"/>
      <c r="B585" s="15"/>
      <c r="C585" s="13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67"/>
      <c r="AM585" s="15"/>
      <c r="AN585" s="176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</row>
    <row r="586" spans="1:51">
      <c r="A586" s="15"/>
      <c r="B586" s="15"/>
      <c r="C586" s="13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67"/>
      <c r="AM586" s="15"/>
      <c r="AN586" s="176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</row>
    <row r="587" spans="1:51">
      <c r="A587" s="15"/>
      <c r="B587" s="15"/>
      <c r="C587" s="13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67"/>
      <c r="AM587" s="15"/>
      <c r="AN587" s="176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</row>
    <row r="588" spans="1:51">
      <c r="A588" s="15"/>
      <c r="B588" s="15"/>
      <c r="C588" s="13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67"/>
      <c r="AM588" s="15"/>
      <c r="AN588" s="176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</row>
    <row r="589" spans="1:51">
      <c r="A589" s="15"/>
      <c r="B589" s="15"/>
      <c r="C589" s="13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67"/>
      <c r="AM589" s="15"/>
      <c r="AN589" s="176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</row>
    <row r="590" spans="1:51">
      <c r="A590" s="15"/>
      <c r="B590" s="15"/>
      <c r="C590" s="13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67"/>
      <c r="AM590" s="15"/>
      <c r="AN590" s="176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</row>
    <row r="591" spans="1:51">
      <c r="A591" s="15"/>
      <c r="B591" s="15"/>
      <c r="C591" s="13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67"/>
      <c r="AM591" s="15"/>
      <c r="AN591" s="176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</row>
    <row r="592" spans="1:51">
      <c r="A592" s="15"/>
      <c r="B592" s="15"/>
      <c r="C592" s="13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67"/>
      <c r="AM592" s="15"/>
      <c r="AN592" s="176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</row>
    <row r="593" spans="1:51">
      <c r="A593" s="15"/>
      <c r="B593" s="15"/>
      <c r="C593" s="13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67"/>
      <c r="AM593" s="15"/>
      <c r="AN593" s="176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</row>
    <row r="594" spans="1:51">
      <c r="A594" s="15"/>
      <c r="B594" s="15"/>
      <c r="C594" s="13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67"/>
      <c r="AM594" s="15"/>
      <c r="AN594" s="176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</row>
    <row r="595" spans="1:51">
      <c r="A595" s="15"/>
      <c r="B595" s="15"/>
      <c r="C595" s="13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67"/>
      <c r="AM595" s="15"/>
      <c r="AN595" s="176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</row>
    <row r="596" spans="1:51">
      <c r="A596" s="15"/>
      <c r="B596" s="15"/>
      <c r="C596" s="13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67"/>
      <c r="AM596" s="15"/>
      <c r="AN596" s="176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</row>
    <row r="597" spans="1:51">
      <c r="A597" s="15"/>
      <c r="B597" s="15"/>
      <c r="C597" s="13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67"/>
      <c r="AM597" s="15"/>
      <c r="AN597" s="176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</row>
    <row r="598" spans="1:51">
      <c r="A598" s="15"/>
      <c r="B598" s="15"/>
      <c r="C598" s="13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67"/>
      <c r="AM598" s="15"/>
      <c r="AN598" s="176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</row>
    <row r="599" spans="1:51">
      <c r="A599" s="15"/>
      <c r="B599" s="15"/>
      <c r="C599" s="13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67"/>
      <c r="AM599" s="15"/>
      <c r="AN599" s="176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</row>
    <row r="600" spans="1:51">
      <c r="A600" s="15"/>
      <c r="B600" s="15"/>
      <c r="C600" s="13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67"/>
      <c r="AM600" s="15"/>
      <c r="AN600" s="176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</row>
    <row r="601" spans="1:51">
      <c r="A601" s="15"/>
      <c r="B601" s="15"/>
      <c r="C601" s="13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67"/>
      <c r="AM601" s="15"/>
      <c r="AN601" s="176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</row>
    <row r="602" spans="1:51">
      <c r="A602" s="15"/>
      <c r="B602" s="15"/>
      <c r="C602" s="13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67"/>
      <c r="AM602" s="15"/>
      <c r="AN602" s="176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</row>
    <row r="603" spans="1:51">
      <c r="A603" s="15"/>
      <c r="B603" s="15"/>
      <c r="C603" s="13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67"/>
      <c r="AM603" s="15"/>
      <c r="AN603" s="176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</row>
    <row r="604" spans="1:51">
      <c r="A604" s="15"/>
      <c r="B604" s="15"/>
      <c r="C604" s="13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67"/>
      <c r="AM604" s="15"/>
      <c r="AN604" s="176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</row>
    <row r="605" spans="1:51">
      <c r="A605" s="15"/>
      <c r="B605" s="15"/>
      <c r="C605" s="13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67"/>
      <c r="AM605" s="15"/>
      <c r="AN605" s="176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</row>
    <row r="606" spans="1:51">
      <c r="A606" s="15"/>
      <c r="B606" s="15"/>
      <c r="C606" s="13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67"/>
      <c r="AM606" s="15"/>
      <c r="AN606" s="176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</row>
    <row r="607" spans="1:51">
      <c r="A607" s="15"/>
      <c r="B607" s="15"/>
      <c r="C607" s="13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67"/>
      <c r="AM607" s="15"/>
      <c r="AN607" s="176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</row>
    <row r="608" spans="1:51">
      <c r="A608" s="15"/>
      <c r="B608" s="15"/>
      <c r="C608" s="13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67"/>
      <c r="AM608" s="15"/>
      <c r="AN608" s="176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</row>
    <row r="609" spans="1:51">
      <c r="A609" s="15"/>
      <c r="B609" s="15"/>
      <c r="C609" s="13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67"/>
      <c r="AM609" s="15"/>
      <c r="AN609" s="176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</row>
    <row r="610" spans="1:51">
      <c r="A610" s="15"/>
      <c r="B610" s="15"/>
      <c r="C610" s="13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67"/>
      <c r="AM610" s="15"/>
      <c r="AN610" s="176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</row>
    <row r="611" spans="1:51">
      <c r="A611" s="15"/>
      <c r="B611" s="15"/>
      <c r="C611" s="13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67"/>
      <c r="AM611" s="15"/>
      <c r="AN611" s="176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</row>
    <row r="612" spans="1:51">
      <c r="A612" s="15"/>
      <c r="B612" s="15"/>
      <c r="C612" s="13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67"/>
      <c r="AM612" s="15"/>
      <c r="AN612" s="176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</row>
    <row r="613" spans="1:51">
      <c r="A613" s="15"/>
      <c r="B613" s="15"/>
      <c r="C613" s="13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67"/>
      <c r="AM613" s="15"/>
      <c r="AN613" s="176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</row>
    <row r="614" spans="1:51">
      <c r="A614" s="15"/>
      <c r="B614" s="15"/>
      <c r="C614" s="13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67"/>
      <c r="AM614" s="15"/>
      <c r="AN614" s="176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</row>
    <row r="615" spans="1:51">
      <c r="A615" s="15"/>
      <c r="B615" s="15"/>
      <c r="C615" s="13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67"/>
      <c r="AM615" s="15"/>
      <c r="AN615" s="176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</row>
    <row r="616" spans="1:51">
      <c r="A616" s="15"/>
      <c r="B616" s="15"/>
      <c r="C616" s="13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67"/>
      <c r="AM616" s="15"/>
      <c r="AN616" s="176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</row>
    <row r="617" spans="1:51">
      <c r="A617" s="15"/>
      <c r="B617" s="15"/>
      <c r="C617" s="13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67"/>
      <c r="AM617" s="15"/>
      <c r="AN617" s="176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</row>
    <row r="618" spans="1:51">
      <c r="A618" s="15"/>
      <c r="B618" s="15"/>
      <c r="C618" s="13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67"/>
      <c r="AM618" s="15"/>
      <c r="AN618" s="176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</row>
    <row r="619" spans="1:51">
      <c r="A619" s="15"/>
      <c r="B619" s="15"/>
      <c r="C619" s="13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67"/>
      <c r="AM619" s="15"/>
      <c r="AN619" s="176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</row>
    <row r="620" spans="1:51">
      <c r="A620" s="15"/>
      <c r="B620" s="15"/>
      <c r="C620" s="13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67"/>
      <c r="AM620" s="15"/>
      <c r="AN620" s="176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</row>
    <row r="621" spans="1:51">
      <c r="A621" s="15"/>
      <c r="B621" s="15"/>
      <c r="C621" s="13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67"/>
      <c r="AM621" s="15"/>
      <c r="AN621" s="176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</row>
    <row r="622" spans="1:51">
      <c r="A622" s="15"/>
      <c r="B622" s="15"/>
      <c r="C622" s="13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67"/>
      <c r="AM622" s="15"/>
      <c r="AN622" s="176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</row>
    <row r="623" spans="1:51">
      <c r="A623" s="15"/>
      <c r="B623" s="15"/>
      <c r="C623" s="13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67"/>
      <c r="AM623" s="15"/>
      <c r="AN623" s="176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</row>
    <row r="624" spans="1:51">
      <c r="A624" s="15"/>
      <c r="B624" s="15"/>
      <c r="C624" s="13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67"/>
      <c r="AM624" s="15"/>
      <c r="AN624" s="176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</row>
    <row r="625" spans="1:51">
      <c r="A625" s="15"/>
      <c r="B625" s="15"/>
      <c r="C625" s="13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67"/>
      <c r="AM625" s="15"/>
      <c r="AN625" s="176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</row>
    <row r="626" spans="1:51">
      <c r="A626" s="15"/>
      <c r="B626" s="15"/>
      <c r="C626" s="13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67"/>
      <c r="AM626" s="15"/>
      <c r="AN626" s="176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</row>
    <row r="627" spans="1:51">
      <c r="A627" s="15"/>
      <c r="B627" s="15"/>
      <c r="C627" s="13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67"/>
      <c r="AM627" s="15"/>
      <c r="AN627" s="176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</row>
    <row r="628" spans="1:51">
      <c r="A628" s="15"/>
      <c r="B628" s="15"/>
      <c r="C628" s="13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67"/>
      <c r="AM628" s="15"/>
      <c r="AN628" s="176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</row>
    <row r="629" spans="1:51">
      <c r="A629" s="15"/>
      <c r="B629" s="15"/>
      <c r="C629" s="13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67"/>
      <c r="AM629" s="15"/>
      <c r="AN629" s="176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</row>
    <row r="630" spans="1:51">
      <c r="A630" s="15"/>
      <c r="B630" s="15"/>
      <c r="C630" s="13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67"/>
      <c r="AM630" s="15"/>
      <c r="AN630" s="176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</row>
    <row r="631" spans="1:51">
      <c r="A631" s="15"/>
      <c r="B631" s="15"/>
      <c r="C631" s="13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67"/>
      <c r="AM631" s="15"/>
      <c r="AN631" s="176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</row>
    <row r="632" spans="1:51">
      <c r="A632" s="15"/>
      <c r="B632" s="15"/>
      <c r="C632" s="13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67"/>
      <c r="AM632" s="15"/>
      <c r="AN632" s="176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</row>
    <row r="633" spans="1:51">
      <c r="A633" s="15"/>
      <c r="B633" s="15"/>
      <c r="C633" s="13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67"/>
      <c r="AM633" s="15"/>
      <c r="AN633" s="176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</row>
    <row r="634" spans="1:51">
      <c r="A634" s="15"/>
      <c r="B634" s="15"/>
      <c r="C634" s="13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67"/>
      <c r="AM634" s="15"/>
      <c r="AN634" s="176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</row>
    <row r="635" spans="1:51">
      <c r="A635" s="15"/>
      <c r="B635" s="15"/>
      <c r="C635" s="13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67"/>
      <c r="AM635" s="15"/>
      <c r="AN635" s="176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</row>
    <row r="636" spans="1:51">
      <c r="A636" s="15"/>
      <c r="B636" s="15"/>
      <c r="C636" s="13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67"/>
      <c r="AM636" s="15"/>
      <c r="AN636" s="176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</row>
    <row r="637" spans="1:51">
      <c r="A637" s="15"/>
      <c r="B637" s="15"/>
      <c r="C637" s="13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67"/>
      <c r="AM637" s="15"/>
      <c r="AN637" s="176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</row>
    <row r="638" spans="1:51">
      <c r="A638" s="15"/>
      <c r="B638" s="15"/>
      <c r="C638" s="13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67"/>
      <c r="AM638" s="15"/>
      <c r="AN638" s="176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</row>
    <row r="639" spans="1:51">
      <c r="A639" s="15"/>
      <c r="B639" s="15"/>
      <c r="C639" s="13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67"/>
      <c r="AM639" s="15"/>
      <c r="AN639" s="176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</row>
    <row r="640" spans="1:51">
      <c r="A640" s="15"/>
      <c r="B640" s="15"/>
      <c r="C640" s="13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67"/>
      <c r="AM640" s="15"/>
      <c r="AN640" s="176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</row>
    <row r="641" spans="1:51">
      <c r="A641" s="15"/>
      <c r="B641" s="15"/>
      <c r="C641" s="13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67"/>
      <c r="AM641" s="15"/>
      <c r="AN641" s="176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</row>
    <row r="642" spans="1:51">
      <c r="A642" s="15"/>
      <c r="B642" s="15"/>
      <c r="C642" s="13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67"/>
      <c r="AM642" s="15"/>
      <c r="AN642" s="176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</row>
    <row r="643" spans="1:51">
      <c r="A643" s="15"/>
      <c r="B643" s="15"/>
      <c r="C643" s="13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67"/>
      <c r="AM643" s="15"/>
      <c r="AN643" s="176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</row>
    <row r="644" spans="1:51">
      <c r="A644" s="15"/>
      <c r="B644" s="15"/>
      <c r="C644" s="13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67"/>
      <c r="AM644" s="15"/>
      <c r="AN644" s="176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</row>
    <row r="645" spans="1:51">
      <c r="A645" s="15"/>
      <c r="B645" s="15"/>
      <c r="C645" s="13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67"/>
      <c r="AM645" s="15"/>
      <c r="AN645" s="176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</row>
    <row r="646" spans="1:51">
      <c r="A646" s="15"/>
      <c r="B646" s="15"/>
      <c r="C646" s="13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67"/>
      <c r="AM646" s="15"/>
      <c r="AN646" s="176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</row>
    <row r="647" spans="1:51">
      <c r="A647" s="15"/>
      <c r="B647" s="15"/>
      <c r="C647" s="13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67"/>
      <c r="AM647" s="15"/>
      <c r="AN647" s="176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</row>
    <row r="648" spans="1:51">
      <c r="A648" s="15"/>
      <c r="B648" s="15"/>
      <c r="C648" s="13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67"/>
      <c r="AM648" s="15"/>
      <c r="AN648" s="176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</row>
    <row r="649" spans="1:51">
      <c r="A649" s="15"/>
      <c r="B649" s="15"/>
      <c r="C649" s="13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67"/>
      <c r="AM649" s="15"/>
      <c r="AN649" s="176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</row>
    <row r="650" spans="1:51">
      <c r="A650" s="15"/>
      <c r="B650" s="15"/>
      <c r="C650" s="13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67"/>
      <c r="AM650" s="15"/>
      <c r="AN650" s="176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</row>
    <row r="651" spans="1:51">
      <c r="A651" s="15"/>
      <c r="B651" s="15"/>
      <c r="C651" s="13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67"/>
      <c r="AM651" s="15"/>
      <c r="AN651" s="176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</row>
    <row r="652" spans="1:51">
      <c r="A652" s="15"/>
      <c r="B652" s="15"/>
      <c r="C652" s="13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67"/>
      <c r="AM652" s="15"/>
      <c r="AN652" s="176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</row>
    <row r="653" spans="1:51">
      <c r="A653" s="15"/>
      <c r="B653" s="15"/>
      <c r="C653" s="13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67"/>
      <c r="AM653" s="15"/>
      <c r="AN653" s="176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</row>
    <row r="654" spans="1:51">
      <c r="A654" s="15"/>
      <c r="B654" s="15"/>
      <c r="C654" s="13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67"/>
      <c r="AM654" s="15"/>
      <c r="AN654" s="176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</row>
    <row r="655" spans="1:51">
      <c r="A655" s="15"/>
      <c r="B655" s="15"/>
      <c r="C655" s="13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67"/>
      <c r="AM655" s="15"/>
      <c r="AN655" s="176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</row>
    <row r="656" spans="1:51">
      <c r="A656" s="15"/>
      <c r="B656" s="15"/>
      <c r="C656" s="13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67"/>
      <c r="AM656" s="15"/>
      <c r="AN656" s="176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</row>
    <row r="657" spans="1:51">
      <c r="A657" s="15"/>
      <c r="B657" s="15"/>
      <c r="C657" s="13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67"/>
      <c r="AM657" s="15"/>
      <c r="AN657" s="176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</row>
    <row r="658" spans="1:51">
      <c r="A658" s="15"/>
      <c r="B658" s="15"/>
      <c r="C658" s="13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67"/>
      <c r="AM658" s="15"/>
      <c r="AN658" s="176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</row>
    <row r="659" spans="1:51">
      <c r="A659" s="15"/>
      <c r="B659" s="15"/>
      <c r="C659" s="13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67"/>
      <c r="AM659" s="15"/>
      <c r="AN659" s="176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</row>
    <row r="660" spans="1:51">
      <c r="A660" s="15"/>
      <c r="B660" s="15"/>
      <c r="C660" s="13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67"/>
      <c r="AM660" s="15"/>
      <c r="AN660" s="176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</row>
    <row r="661" spans="1:51">
      <c r="A661" s="15"/>
      <c r="B661" s="15"/>
      <c r="C661" s="13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67"/>
      <c r="AM661" s="15"/>
      <c r="AN661" s="176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</row>
    <row r="662" spans="1:51">
      <c r="A662" s="15"/>
      <c r="B662" s="15"/>
      <c r="C662" s="13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67"/>
      <c r="AM662" s="15"/>
      <c r="AN662" s="176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</row>
    <row r="663" spans="1:51">
      <c r="A663" s="15"/>
      <c r="B663" s="15"/>
      <c r="C663" s="13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67"/>
      <c r="AM663" s="15"/>
      <c r="AN663" s="176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</row>
    <row r="664" spans="1:51">
      <c r="A664" s="15"/>
      <c r="B664" s="15"/>
      <c r="C664" s="13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67"/>
      <c r="AM664" s="15"/>
      <c r="AN664" s="176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</row>
    <row r="665" spans="1:51">
      <c r="A665" s="15"/>
      <c r="B665" s="15"/>
      <c r="C665" s="13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67"/>
      <c r="AM665" s="15"/>
      <c r="AN665" s="176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</row>
    <row r="666" spans="1:51">
      <c r="A666" s="15"/>
      <c r="B666" s="15"/>
      <c r="C666" s="13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67"/>
      <c r="AM666" s="15"/>
      <c r="AN666" s="176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</row>
    <row r="667" spans="1:51">
      <c r="A667" s="15"/>
      <c r="B667" s="15"/>
      <c r="C667" s="13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67"/>
      <c r="AM667" s="15"/>
      <c r="AN667" s="176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</row>
    <row r="668" spans="1:51">
      <c r="A668" s="15"/>
      <c r="B668" s="15"/>
      <c r="C668" s="13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67"/>
      <c r="AM668" s="15"/>
      <c r="AN668" s="176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</row>
    <row r="669" spans="1:51">
      <c r="A669" s="15"/>
      <c r="B669" s="15"/>
      <c r="C669" s="13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67"/>
      <c r="AM669" s="15"/>
      <c r="AN669" s="176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</row>
    <row r="670" spans="1:51">
      <c r="A670" s="15"/>
      <c r="B670" s="15"/>
      <c r="C670" s="13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67"/>
      <c r="AM670" s="15"/>
      <c r="AN670" s="176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</row>
    <row r="671" spans="1:51">
      <c r="A671" s="15"/>
      <c r="B671" s="15"/>
      <c r="C671" s="13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67"/>
      <c r="AM671" s="15"/>
      <c r="AN671" s="176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</row>
    <row r="672" spans="1:51">
      <c r="A672" s="15"/>
      <c r="B672" s="15"/>
      <c r="C672" s="13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67"/>
      <c r="AM672" s="15"/>
      <c r="AN672" s="176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</row>
    <row r="673" spans="1:51">
      <c r="A673" s="15"/>
      <c r="B673" s="15"/>
      <c r="C673" s="13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67"/>
      <c r="AM673" s="15"/>
      <c r="AN673" s="176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</row>
    <row r="674" spans="1:51">
      <c r="A674" s="15"/>
      <c r="B674" s="15"/>
      <c r="C674" s="13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67"/>
      <c r="AM674" s="15"/>
      <c r="AN674" s="176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</row>
    <row r="675" spans="1:51">
      <c r="A675" s="15"/>
      <c r="B675" s="15"/>
      <c r="C675" s="13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67"/>
      <c r="AM675" s="15"/>
      <c r="AN675" s="176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</row>
    <row r="676" spans="1:51">
      <c r="A676" s="15"/>
      <c r="B676" s="15"/>
      <c r="C676" s="13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67"/>
      <c r="AM676" s="15"/>
      <c r="AN676" s="176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</row>
    <row r="677" spans="1:51">
      <c r="A677" s="15"/>
      <c r="B677" s="15"/>
      <c r="C677" s="13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67"/>
      <c r="AM677" s="15"/>
      <c r="AN677" s="176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</row>
    <row r="678" spans="1:51">
      <c r="A678" s="15"/>
      <c r="B678" s="15"/>
      <c r="C678" s="13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67"/>
      <c r="AM678" s="15"/>
      <c r="AN678" s="176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</row>
    <row r="679" spans="1:51">
      <c r="A679" s="15"/>
      <c r="B679" s="15"/>
      <c r="C679" s="13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67"/>
      <c r="AM679" s="15"/>
      <c r="AN679" s="176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</row>
    <row r="680" spans="1:51">
      <c r="A680" s="15"/>
      <c r="B680" s="15"/>
      <c r="C680" s="13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67"/>
      <c r="AM680" s="15"/>
      <c r="AN680" s="176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</row>
    <row r="681" spans="1:51">
      <c r="A681" s="15"/>
      <c r="B681" s="15"/>
      <c r="C681" s="13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67"/>
      <c r="AM681" s="15"/>
      <c r="AN681" s="176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</row>
    <row r="682" spans="1:51">
      <c r="A682" s="15"/>
      <c r="B682" s="15"/>
      <c r="C682" s="13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67"/>
      <c r="AM682" s="15"/>
      <c r="AN682" s="176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</row>
    <row r="683" spans="1:51">
      <c r="A683" s="15"/>
      <c r="B683" s="15"/>
      <c r="C683" s="13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67"/>
      <c r="AM683" s="15"/>
      <c r="AN683" s="176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</row>
    <row r="684" spans="1:51">
      <c r="A684" s="15"/>
      <c r="B684" s="15"/>
      <c r="C684" s="13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67"/>
      <c r="AM684" s="15"/>
      <c r="AN684" s="176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</row>
    <row r="685" spans="1:51">
      <c r="A685" s="15"/>
      <c r="B685" s="15"/>
      <c r="C685" s="13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67"/>
      <c r="AM685" s="15"/>
      <c r="AN685" s="176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</row>
    <row r="686" spans="1:51">
      <c r="A686" s="15"/>
      <c r="B686" s="15"/>
      <c r="C686" s="13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67"/>
      <c r="AM686" s="15"/>
      <c r="AN686" s="176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</row>
    <row r="687" spans="1:51">
      <c r="A687" s="15"/>
      <c r="B687" s="15"/>
      <c r="C687" s="13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67"/>
      <c r="AM687" s="15"/>
      <c r="AN687" s="176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</row>
    <row r="688" spans="1:51">
      <c r="A688" s="15"/>
      <c r="B688" s="15"/>
      <c r="C688" s="13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67"/>
      <c r="AM688" s="15"/>
      <c r="AN688" s="176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</row>
    <row r="689" spans="1:51">
      <c r="A689" s="15"/>
      <c r="B689" s="15"/>
      <c r="C689" s="13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67"/>
      <c r="AM689" s="15"/>
      <c r="AN689" s="176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</row>
    <row r="690" spans="1:51">
      <c r="A690" s="15"/>
      <c r="B690" s="15"/>
      <c r="C690" s="13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67"/>
      <c r="AM690" s="15"/>
      <c r="AN690" s="176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</row>
    <row r="691" spans="1:51">
      <c r="A691" s="15"/>
      <c r="B691" s="15"/>
      <c r="C691" s="13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67"/>
      <c r="AM691" s="15"/>
      <c r="AN691" s="176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</row>
    <row r="692" spans="1:51">
      <c r="A692" s="15"/>
      <c r="B692" s="15"/>
      <c r="C692" s="13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67"/>
      <c r="AM692" s="15"/>
      <c r="AN692" s="176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</row>
    <row r="693" spans="1:51">
      <c r="A693" s="15"/>
      <c r="B693" s="15"/>
      <c r="C693" s="13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67"/>
      <c r="AM693" s="15"/>
      <c r="AN693" s="176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</row>
    <row r="694" spans="1:51">
      <c r="A694" s="15"/>
      <c r="B694" s="15"/>
      <c r="C694" s="13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67"/>
      <c r="AM694" s="15"/>
      <c r="AN694" s="176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</row>
    <row r="695" spans="1:51">
      <c r="A695" s="15"/>
      <c r="B695" s="15"/>
      <c r="C695" s="13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67"/>
      <c r="AM695" s="15"/>
      <c r="AN695" s="176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</row>
    <row r="696" spans="1:51">
      <c r="A696" s="15"/>
      <c r="B696" s="15"/>
      <c r="C696" s="13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67"/>
      <c r="AM696" s="15"/>
      <c r="AN696" s="176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</row>
    <row r="697" spans="1:51">
      <c r="A697" s="15"/>
      <c r="B697" s="15"/>
      <c r="C697" s="13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67"/>
      <c r="AM697" s="15"/>
      <c r="AN697" s="176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</row>
    <row r="698" spans="1:51">
      <c r="A698" s="15"/>
      <c r="B698" s="15"/>
      <c r="C698" s="13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67"/>
      <c r="AM698" s="15"/>
      <c r="AN698" s="176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</row>
    <row r="699" spans="1:51">
      <c r="A699" s="15"/>
      <c r="B699" s="15"/>
      <c r="C699" s="13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67"/>
      <c r="AM699" s="15"/>
      <c r="AN699" s="176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</row>
    <row r="700" spans="1:51">
      <c r="A700" s="15"/>
      <c r="B700" s="15"/>
      <c r="C700" s="13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67"/>
      <c r="AM700" s="15"/>
      <c r="AN700" s="176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</row>
    <row r="701" spans="1:51">
      <c r="A701" s="15"/>
      <c r="B701" s="15"/>
      <c r="C701" s="13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67"/>
      <c r="AM701" s="15"/>
      <c r="AN701" s="176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</row>
    <row r="702" spans="1:51">
      <c r="A702" s="15"/>
      <c r="B702" s="15"/>
      <c r="C702" s="13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67"/>
      <c r="AM702" s="15"/>
      <c r="AN702" s="176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</row>
    <row r="703" spans="1:51">
      <c r="A703" s="15"/>
      <c r="B703" s="15"/>
      <c r="C703" s="13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67"/>
      <c r="AM703" s="15"/>
      <c r="AN703" s="176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</row>
    <row r="704" spans="1:51">
      <c r="A704" s="15"/>
      <c r="B704" s="15"/>
      <c r="C704" s="13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67"/>
      <c r="AM704" s="15"/>
      <c r="AN704" s="176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</row>
    <row r="705" spans="1:51">
      <c r="A705" s="15"/>
      <c r="B705" s="15"/>
      <c r="C705" s="13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67"/>
      <c r="AM705" s="15"/>
      <c r="AN705" s="176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</row>
    <row r="706" spans="1:51">
      <c r="A706" s="15"/>
      <c r="B706" s="15"/>
      <c r="C706" s="13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67"/>
      <c r="AM706" s="15"/>
      <c r="AN706" s="176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</row>
    <row r="707" spans="1:51">
      <c r="A707" s="15"/>
      <c r="B707" s="15"/>
      <c r="C707" s="13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67"/>
      <c r="AM707" s="15"/>
      <c r="AN707" s="176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</row>
    <row r="708" spans="1:51">
      <c r="A708" s="15"/>
      <c r="B708" s="15"/>
      <c r="C708" s="13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67"/>
      <c r="AM708" s="15"/>
      <c r="AN708" s="176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</row>
    <row r="709" spans="1:51">
      <c r="A709" s="15"/>
      <c r="B709" s="15"/>
      <c r="C709" s="13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67"/>
      <c r="AM709" s="15"/>
      <c r="AN709" s="176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</row>
    <row r="710" spans="1:51">
      <c r="A710" s="15"/>
      <c r="B710" s="15"/>
      <c r="C710" s="13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67"/>
      <c r="AM710" s="15"/>
      <c r="AN710" s="176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</row>
    <row r="711" spans="1:51">
      <c r="A711" s="15"/>
      <c r="B711" s="15"/>
      <c r="C711" s="13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67"/>
      <c r="AM711" s="15"/>
      <c r="AN711" s="176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</row>
    <row r="712" spans="1:51">
      <c r="A712" s="15"/>
      <c r="B712" s="15"/>
      <c r="C712" s="13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67"/>
      <c r="AM712" s="15"/>
      <c r="AN712" s="176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</row>
    <row r="713" spans="1:51">
      <c r="A713" s="15"/>
      <c r="B713" s="15"/>
      <c r="C713" s="13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67"/>
      <c r="AM713" s="15"/>
      <c r="AN713" s="176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</row>
    <row r="714" spans="1:51">
      <c r="A714" s="15"/>
      <c r="B714" s="15"/>
      <c r="C714" s="13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67"/>
      <c r="AM714" s="15"/>
      <c r="AN714" s="176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</row>
    <row r="715" spans="1:51">
      <c r="A715" s="15"/>
      <c r="B715" s="15"/>
      <c r="C715" s="13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67"/>
      <c r="AM715" s="15"/>
      <c r="AN715" s="176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</row>
    <row r="716" spans="1:51">
      <c r="A716" s="15"/>
      <c r="B716" s="15"/>
      <c r="C716" s="13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67"/>
      <c r="AM716" s="15"/>
      <c r="AN716" s="176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</row>
    <row r="717" spans="1:51">
      <c r="A717" s="15"/>
      <c r="B717" s="15"/>
      <c r="C717" s="13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67"/>
      <c r="AM717" s="15"/>
      <c r="AN717" s="176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</row>
    <row r="718" spans="1:51">
      <c r="A718" s="15"/>
      <c r="B718" s="15"/>
      <c r="C718" s="13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67"/>
      <c r="AM718" s="15"/>
      <c r="AN718" s="176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</row>
    <row r="719" spans="1:51">
      <c r="A719" s="15"/>
      <c r="B719" s="15"/>
      <c r="C719" s="13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67"/>
      <c r="AM719" s="15"/>
      <c r="AN719" s="176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</row>
    <row r="720" spans="1:51">
      <c r="A720" s="15"/>
      <c r="B720" s="15"/>
      <c r="C720" s="13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67"/>
      <c r="AM720" s="15"/>
      <c r="AN720" s="176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</row>
    <row r="721" spans="1:51">
      <c r="A721" s="15"/>
      <c r="B721" s="15"/>
      <c r="C721" s="13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67"/>
      <c r="AM721" s="15"/>
      <c r="AN721" s="176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</row>
    <row r="722" spans="1:51">
      <c r="A722" s="15"/>
      <c r="B722" s="15"/>
      <c r="C722" s="13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67"/>
      <c r="AM722" s="15"/>
      <c r="AN722" s="176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</row>
    <row r="723" spans="1:51">
      <c r="A723" s="15"/>
      <c r="B723" s="15"/>
      <c r="C723" s="13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67"/>
      <c r="AM723" s="15"/>
      <c r="AN723" s="176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</row>
    <row r="724" spans="1:51">
      <c r="A724" s="15"/>
      <c r="B724" s="15"/>
      <c r="C724" s="13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67"/>
      <c r="AM724" s="15"/>
      <c r="AN724" s="176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</row>
    <row r="725" spans="1:51">
      <c r="A725" s="15"/>
      <c r="B725" s="15"/>
      <c r="C725" s="13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67"/>
      <c r="AM725" s="15"/>
      <c r="AN725" s="176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</row>
    <row r="726" spans="1:51">
      <c r="A726" s="15"/>
      <c r="B726" s="15"/>
      <c r="C726" s="13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67"/>
      <c r="AM726" s="15"/>
      <c r="AN726" s="176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</row>
    <row r="727" spans="1:51">
      <c r="A727" s="15"/>
      <c r="B727" s="15"/>
      <c r="C727" s="13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67"/>
      <c r="AM727" s="15"/>
      <c r="AN727" s="176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</row>
    <row r="728" spans="1:51">
      <c r="A728" s="15"/>
      <c r="B728" s="15"/>
      <c r="C728" s="13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67"/>
      <c r="AM728" s="15"/>
      <c r="AN728" s="176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</row>
    <row r="729" spans="1:51">
      <c r="A729" s="15"/>
      <c r="B729" s="15"/>
      <c r="C729" s="13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67"/>
      <c r="AM729" s="15"/>
      <c r="AN729" s="176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</row>
    <row r="730" spans="1:51">
      <c r="A730" s="15"/>
      <c r="B730" s="15"/>
      <c r="C730" s="13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67"/>
      <c r="AM730" s="15"/>
      <c r="AN730" s="176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</row>
    <row r="731" spans="1:51">
      <c r="A731" s="15"/>
      <c r="B731" s="15"/>
      <c r="C731" s="13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67"/>
      <c r="AM731" s="15"/>
      <c r="AN731" s="176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</row>
    <row r="732" spans="1:51">
      <c r="A732" s="15"/>
      <c r="B732" s="15"/>
      <c r="C732" s="13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67"/>
      <c r="AM732" s="15"/>
      <c r="AN732" s="176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</row>
    <row r="733" spans="1:51">
      <c r="A733" s="15"/>
      <c r="B733" s="15"/>
      <c r="C733" s="13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67"/>
      <c r="AM733" s="15"/>
      <c r="AN733" s="176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</row>
    <row r="734" spans="1:51">
      <c r="A734" s="15"/>
      <c r="B734" s="15"/>
      <c r="C734" s="13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67"/>
      <c r="AM734" s="15"/>
      <c r="AN734" s="176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</row>
    <row r="735" spans="1:51">
      <c r="A735" s="15"/>
      <c r="B735" s="15"/>
      <c r="C735" s="13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67"/>
      <c r="AM735" s="15"/>
      <c r="AN735" s="176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</row>
    <row r="736" spans="1:51">
      <c r="A736" s="15"/>
      <c r="B736" s="15"/>
      <c r="C736" s="13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67"/>
      <c r="AM736" s="15"/>
      <c r="AN736" s="176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</row>
    <row r="737" spans="1:51">
      <c r="A737" s="15"/>
      <c r="B737" s="15"/>
      <c r="C737" s="13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67"/>
      <c r="AM737" s="15"/>
      <c r="AN737" s="176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</row>
    <row r="738" spans="1:51">
      <c r="A738" s="15"/>
      <c r="B738" s="15"/>
      <c r="C738" s="13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67"/>
      <c r="AM738" s="15"/>
      <c r="AN738" s="176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</row>
    <row r="739" spans="1:51">
      <c r="A739" s="15"/>
      <c r="B739" s="15"/>
      <c r="C739" s="13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67"/>
      <c r="AM739" s="15"/>
      <c r="AN739" s="176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</row>
    <row r="740" spans="1:51">
      <c r="A740" s="15"/>
      <c r="B740" s="15"/>
      <c r="C740" s="13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67"/>
      <c r="AM740" s="15"/>
      <c r="AN740" s="176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</row>
    <row r="741" spans="1:51">
      <c r="A741" s="15"/>
      <c r="B741" s="15"/>
      <c r="C741" s="13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67"/>
      <c r="AM741" s="15"/>
      <c r="AN741" s="176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</row>
    <row r="742" spans="1:51">
      <c r="A742" s="15"/>
      <c r="B742" s="15"/>
      <c r="C742" s="13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67"/>
      <c r="AM742" s="15"/>
      <c r="AN742" s="176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</row>
    <row r="743" spans="1:51">
      <c r="A743" s="15"/>
      <c r="B743" s="15"/>
      <c r="C743" s="13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67"/>
      <c r="AM743" s="15"/>
      <c r="AN743" s="176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</row>
    <row r="744" spans="1:51">
      <c r="A744" s="15"/>
      <c r="B744" s="15"/>
      <c r="C744" s="13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67"/>
      <c r="AM744" s="15"/>
      <c r="AN744" s="176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</row>
    <row r="745" spans="1:51">
      <c r="A745" s="15"/>
      <c r="B745" s="15"/>
      <c r="C745" s="13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67"/>
      <c r="AM745" s="15"/>
      <c r="AN745" s="176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</row>
    <row r="746" spans="1:51">
      <c r="A746" s="15"/>
      <c r="B746" s="15"/>
      <c r="C746" s="13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67"/>
      <c r="AM746" s="15"/>
      <c r="AN746" s="176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</row>
    <row r="747" spans="1:51">
      <c r="A747" s="15"/>
      <c r="B747" s="15"/>
      <c r="C747" s="13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67"/>
      <c r="AM747" s="15"/>
      <c r="AN747" s="176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</row>
    <row r="748" spans="1:51">
      <c r="A748" s="15"/>
      <c r="B748" s="15"/>
      <c r="C748" s="13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67"/>
      <c r="AM748" s="15"/>
      <c r="AN748" s="176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</row>
    <row r="749" spans="1:51">
      <c r="A749" s="15"/>
      <c r="B749" s="15"/>
      <c r="C749" s="13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67"/>
      <c r="AM749" s="15"/>
      <c r="AN749" s="176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</row>
    <row r="750" spans="1:51">
      <c r="A750" s="15"/>
      <c r="B750" s="15"/>
      <c r="C750" s="13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67"/>
      <c r="AM750" s="15"/>
      <c r="AN750" s="176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</row>
    <row r="751" spans="1:51">
      <c r="A751" s="15"/>
      <c r="B751" s="15"/>
      <c r="C751" s="13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67"/>
      <c r="AM751" s="15"/>
      <c r="AN751" s="176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</row>
    <row r="752" spans="1:51">
      <c r="A752" s="15"/>
      <c r="B752" s="15"/>
      <c r="C752" s="13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67"/>
      <c r="AM752" s="15"/>
      <c r="AN752" s="176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</row>
    <row r="753" spans="1:51">
      <c r="A753" s="15"/>
      <c r="B753" s="15"/>
      <c r="C753" s="13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67"/>
      <c r="AM753" s="15"/>
      <c r="AN753" s="176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</row>
    <row r="754" spans="1:51">
      <c r="A754" s="15"/>
      <c r="B754" s="15"/>
      <c r="C754" s="13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67"/>
      <c r="AM754" s="15"/>
      <c r="AN754" s="176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</row>
    <row r="755" spans="1:51">
      <c r="A755" s="15"/>
      <c r="B755" s="15"/>
      <c r="C755" s="13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67"/>
      <c r="AM755" s="15"/>
      <c r="AN755" s="176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</row>
    <row r="756" spans="1:51">
      <c r="A756" s="15"/>
      <c r="B756" s="15"/>
      <c r="C756" s="13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67"/>
      <c r="AM756" s="15"/>
      <c r="AN756" s="176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</row>
    <row r="757" spans="1:51">
      <c r="A757" s="15"/>
      <c r="B757" s="15"/>
      <c r="C757" s="13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67"/>
      <c r="AM757" s="15"/>
      <c r="AN757" s="176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</row>
    <row r="758" spans="1:51">
      <c r="A758" s="15"/>
      <c r="B758" s="15"/>
      <c r="C758" s="13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67"/>
      <c r="AM758" s="15"/>
      <c r="AN758" s="176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</row>
    <row r="759" spans="1:51">
      <c r="A759" s="15"/>
      <c r="B759" s="15"/>
      <c r="C759" s="13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67"/>
      <c r="AM759" s="15"/>
      <c r="AN759" s="176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</row>
    <row r="760" spans="1:51">
      <c r="A760" s="15"/>
      <c r="B760" s="15"/>
      <c r="C760" s="13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67"/>
      <c r="AM760" s="15"/>
      <c r="AN760" s="176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</row>
    <row r="761" spans="1:51">
      <c r="A761" s="15"/>
      <c r="B761" s="15"/>
      <c r="C761" s="13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67"/>
      <c r="AM761" s="15"/>
      <c r="AN761" s="176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</row>
    <row r="762" spans="1:51">
      <c r="A762" s="15"/>
      <c r="B762" s="15"/>
      <c r="C762" s="13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67"/>
      <c r="AM762" s="15"/>
      <c r="AN762" s="176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</row>
    <row r="763" spans="1:51">
      <c r="A763" s="15"/>
      <c r="B763" s="15"/>
      <c r="C763" s="13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67"/>
      <c r="AM763" s="15"/>
      <c r="AN763" s="176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</row>
    <row r="764" spans="1:51">
      <c r="A764" s="15"/>
      <c r="B764" s="15"/>
      <c r="C764" s="13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67"/>
      <c r="AM764" s="15"/>
      <c r="AN764" s="176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</row>
    <row r="765" spans="1:51">
      <c r="A765" s="15"/>
      <c r="B765" s="15"/>
      <c r="C765" s="13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67"/>
      <c r="AM765" s="15"/>
      <c r="AN765" s="176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</row>
    <row r="766" spans="1:51">
      <c r="A766" s="15"/>
      <c r="B766" s="15"/>
      <c r="C766" s="13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67"/>
      <c r="AM766" s="15"/>
      <c r="AN766" s="176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</row>
    <row r="767" spans="1:51">
      <c r="A767" s="15"/>
      <c r="B767" s="15"/>
      <c r="C767" s="13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67"/>
      <c r="AM767" s="15"/>
      <c r="AN767" s="176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</row>
    <row r="768" spans="1:51">
      <c r="A768" s="15"/>
      <c r="B768" s="15"/>
      <c r="C768" s="13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67"/>
      <c r="AM768" s="15"/>
      <c r="AN768" s="176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</row>
    <row r="769" spans="1:51">
      <c r="A769" s="15"/>
      <c r="B769" s="15"/>
      <c r="C769" s="13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67"/>
      <c r="AM769" s="15"/>
      <c r="AN769" s="176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</row>
    <row r="770" spans="1:51">
      <c r="A770" s="15"/>
      <c r="B770" s="15"/>
      <c r="C770" s="13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67"/>
      <c r="AM770" s="15"/>
      <c r="AN770" s="176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</row>
    <row r="771" spans="1:51">
      <c r="A771" s="15"/>
      <c r="B771" s="15"/>
      <c r="C771" s="13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67"/>
      <c r="AM771" s="15"/>
      <c r="AN771" s="176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</row>
    <row r="772" spans="1:51">
      <c r="A772" s="15"/>
      <c r="B772" s="15"/>
      <c r="C772" s="13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67"/>
      <c r="AM772" s="15"/>
      <c r="AN772" s="176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</row>
    <row r="773" spans="1:51">
      <c r="A773" s="15"/>
      <c r="B773" s="15"/>
      <c r="C773" s="13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67"/>
      <c r="AM773" s="15"/>
      <c r="AN773" s="176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</row>
    <row r="774" spans="1:51">
      <c r="A774" s="15"/>
      <c r="B774" s="15"/>
      <c r="C774" s="13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67"/>
      <c r="AM774" s="15"/>
      <c r="AN774" s="176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</row>
    <row r="775" spans="1:51">
      <c r="A775" s="15"/>
      <c r="B775" s="15"/>
      <c r="C775" s="13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67"/>
      <c r="AM775" s="15"/>
      <c r="AN775" s="176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</row>
    <row r="776" spans="1:51">
      <c r="A776" s="15"/>
      <c r="B776" s="15"/>
      <c r="C776" s="13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67"/>
      <c r="AM776" s="15"/>
      <c r="AN776" s="176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</row>
    <row r="777" spans="1:51">
      <c r="A777" s="15"/>
      <c r="B777" s="15"/>
      <c r="C777" s="13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67"/>
      <c r="AM777" s="15"/>
      <c r="AN777" s="176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</row>
    <row r="778" spans="1:51">
      <c r="A778" s="15"/>
      <c r="B778" s="15"/>
      <c r="C778" s="13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67"/>
      <c r="AM778" s="15"/>
      <c r="AN778" s="176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</row>
    <row r="779" spans="1:51">
      <c r="A779" s="15"/>
      <c r="B779" s="15"/>
      <c r="C779" s="13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67"/>
      <c r="AM779" s="15"/>
      <c r="AN779" s="176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</row>
    <row r="780" spans="1:51">
      <c r="A780" s="15"/>
      <c r="B780" s="15"/>
      <c r="C780" s="13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67"/>
      <c r="AM780" s="15"/>
      <c r="AN780" s="176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</row>
    <row r="781" spans="1:51">
      <c r="A781" s="15"/>
      <c r="B781" s="15"/>
      <c r="C781" s="13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67"/>
      <c r="AM781" s="15"/>
      <c r="AN781" s="176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</row>
    <row r="782" spans="1:51">
      <c r="A782" s="15"/>
      <c r="B782" s="15"/>
      <c r="C782" s="13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67"/>
      <c r="AM782" s="15"/>
      <c r="AN782" s="176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</row>
    <row r="783" spans="1:51">
      <c r="A783" s="15"/>
      <c r="B783" s="15"/>
      <c r="C783" s="13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67"/>
      <c r="AM783" s="15"/>
      <c r="AN783" s="176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</row>
    <row r="784" spans="1:51">
      <c r="A784" s="15"/>
      <c r="B784" s="15"/>
      <c r="C784" s="13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67"/>
      <c r="AM784" s="15"/>
      <c r="AN784" s="176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</row>
    <row r="785" spans="1:51">
      <c r="A785" s="15"/>
      <c r="B785" s="15"/>
      <c r="C785" s="13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67"/>
      <c r="AM785" s="15"/>
      <c r="AN785" s="176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</row>
    <row r="786" spans="1:51">
      <c r="A786" s="15"/>
      <c r="B786" s="15"/>
      <c r="C786" s="13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67"/>
      <c r="AM786" s="15"/>
      <c r="AN786" s="176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</row>
    <row r="787" spans="1:51">
      <c r="A787" s="15"/>
      <c r="B787" s="15"/>
      <c r="C787" s="13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67"/>
      <c r="AM787" s="15"/>
      <c r="AN787" s="176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</row>
    <row r="788" spans="1:51">
      <c r="A788" s="15"/>
      <c r="B788" s="15"/>
      <c r="C788" s="13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67"/>
      <c r="AM788" s="15"/>
      <c r="AN788" s="176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</row>
    <row r="789" spans="1:51">
      <c r="A789" s="15"/>
      <c r="B789" s="15"/>
      <c r="C789" s="13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67"/>
      <c r="AM789" s="15"/>
      <c r="AN789" s="176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</row>
    <row r="790" spans="1:51">
      <c r="A790" s="15"/>
      <c r="B790" s="15"/>
      <c r="C790" s="13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67"/>
      <c r="AM790" s="15"/>
      <c r="AN790" s="176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</row>
    <row r="791" spans="1:51">
      <c r="A791" s="15"/>
      <c r="B791" s="15"/>
      <c r="C791" s="13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67"/>
      <c r="AM791" s="15"/>
      <c r="AN791" s="176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</row>
    <row r="792" spans="1:51">
      <c r="A792" s="15"/>
      <c r="B792" s="15"/>
      <c r="C792" s="13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67"/>
      <c r="AM792" s="15"/>
      <c r="AN792" s="176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</row>
    <row r="793" spans="1:51">
      <c r="A793" s="15"/>
      <c r="B793" s="15"/>
      <c r="C793" s="13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67"/>
      <c r="AM793" s="15"/>
      <c r="AN793" s="176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</row>
    <row r="794" spans="1:51">
      <c r="A794" s="15"/>
      <c r="B794" s="15"/>
      <c r="C794" s="13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67"/>
      <c r="AM794" s="15"/>
      <c r="AN794" s="176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</row>
    <row r="795" spans="1:51">
      <c r="A795" s="15"/>
      <c r="B795" s="15"/>
      <c r="C795" s="13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67"/>
      <c r="AM795" s="15"/>
      <c r="AN795" s="176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</row>
    <row r="796" spans="1:51">
      <c r="A796" s="15"/>
      <c r="B796" s="15"/>
      <c r="C796" s="13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67"/>
      <c r="AM796" s="15"/>
      <c r="AN796" s="176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</row>
    <row r="797" spans="1:51">
      <c r="A797" s="15"/>
      <c r="B797" s="15"/>
      <c r="C797" s="13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67"/>
      <c r="AM797" s="15"/>
      <c r="AN797" s="176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</row>
    <row r="798" spans="1:51">
      <c r="A798" s="15"/>
      <c r="B798" s="15"/>
      <c r="C798" s="13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67"/>
      <c r="AM798" s="15"/>
      <c r="AN798" s="176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</row>
    <row r="799" spans="1:51">
      <c r="A799" s="15"/>
      <c r="B799" s="15"/>
      <c r="C799" s="13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67"/>
      <c r="AM799" s="15"/>
      <c r="AN799" s="176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</row>
    <row r="800" spans="1:51">
      <c r="A800" s="15"/>
      <c r="B800" s="15"/>
      <c r="C800" s="13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67"/>
      <c r="AM800" s="15"/>
      <c r="AN800" s="176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</row>
    <row r="801" spans="1:51">
      <c r="A801" s="15"/>
      <c r="B801" s="15"/>
      <c r="C801" s="13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67"/>
      <c r="AM801" s="15"/>
      <c r="AN801" s="176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</row>
    <row r="802" spans="1:51">
      <c r="A802" s="15"/>
      <c r="B802" s="15"/>
      <c r="C802" s="13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67"/>
      <c r="AM802" s="15"/>
      <c r="AN802" s="176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</row>
    <row r="803" spans="1:51">
      <c r="A803" s="15"/>
      <c r="B803" s="15"/>
      <c r="C803" s="13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67"/>
      <c r="AM803" s="15"/>
      <c r="AN803" s="176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</row>
    <row r="804" spans="1:51">
      <c r="A804" s="15"/>
      <c r="B804" s="15"/>
      <c r="C804" s="13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67"/>
      <c r="AM804" s="15"/>
      <c r="AN804" s="176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</row>
    <row r="805" spans="1:51">
      <c r="A805" s="15"/>
      <c r="B805" s="15"/>
      <c r="C805" s="13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67"/>
      <c r="AM805" s="15"/>
      <c r="AN805" s="176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</row>
    <row r="806" spans="1:51">
      <c r="A806" s="15"/>
      <c r="B806" s="15"/>
      <c r="C806" s="13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67"/>
      <c r="AM806" s="15"/>
      <c r="AN806" s="176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</row>
    <row r="807" spans="1:51">
      <c r="A807" s="15"/>
      <c r="B807" s="15"/>
      <c r="C807" s="13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67"/>
      <c r="AM807" s="15"/>
      <c r="AN807" s="176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</row>
    <row r="808" spans="1:51">
      <c r="A808" s="15"/>
      <c r="B808" s="15"/>
      <c r="C808" s="13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67"/>
      <c r="AM808" s="15"/>
      <c r="AN808" s="176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</row>
    <row r="809" spans="1:51">
      <c r="A809" s="15"/>
      <c r="B809" s="15"/>
      <c r="C809" s="13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67"/>
      <c r="AM809" s="15"/>
      <c r="AN809" s="176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</row>
    <row r="810" spans="1:51">
      <c r="A810" s="15"/>
      <c r="B810" s="15"/>
      <c r="C810" s="13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67"/>
      <c r="AM810" s="15"/>
      <c r="AN810" s="176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</row>
    <row r="811" spans="1:51">
      <c r="A811" s="15"/>
      <c r="B811" s="15"/>
      <c r="C811" s="13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67"/>
      <c r="AM811" s="15"/>
      <c r="AN811" s="176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</row>
    <row r="812" spans="1:51">
      <c r="A812" s="15"/>
      <c r="B812" s="15"/>
      <c r="C812" s="13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67"/>
      <c r="AM812" s="15"/>
      <c r="AN812" s="176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</row>
    <row r="813" spans="1:51">
      <c r="A813" s="15"/>
      <c r="B813" s="15"/>
      <c r="C813" s="13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67"/>
      <c r="AM813" s="15"/>
      <c r="AN813" s="176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</row>
    <row r="814" spans="1:51">
      <c r="A814" s="15"/>
      <c r="B814" s="15"/>
      <c r="C814" s="13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67"/>
      <c r="AM814" s="15"/>
      <c r="AN814" s="176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</row>
    <row r="815" spans="1:51">
      <c r="A815" s="15"/>
      <c r="B815" s="15"/>
      <c r="C815" s="13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67"/>
      <c r="AM815" s="15"/>
      <c r="AN815" s="176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</row>
    <row r="816" spans="1:51">
      <c r="A816" s="15"/>
      <c r="B816" s="15"/>
      <c r="C816" s="13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67"/>
      <c r="AM816" s="15"/>
      <c r="AN816" s="176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</row>
    <row r="817" spans="1:51">
      <c r="A817" s="15"/>
      <c r="B817" s="15"/>
      <c r="C817" s="13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67"/>
      <c r="AM817" s="15"/>
      <c r="AN817" s="176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</row>
    <row r="818" spans="1:51">
      <c r="A818" s="15"/>
      <c r="B818" s="15"/>
      <c r="C818" s="13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67"/>
      <c r="AM818" s="15"/>
      <c r="AN818" s="176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</row>
    <row r="819" spans="1:51">
      <c r="A819" s="15"/>
      <c r="B819" s="15"/>
      <c r="C819" s="13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67"/>
      <c r="AM819" s="15"/>
      <c r="AN819" s="176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</row>
    <row r="820" spans="1:51">
      <c r="A820" s="15"/>
      <c r="B820" s="15"/>
      <c r="C820" s="13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67"/>
      <c r="AM820" s="15"/>
      <c r="AN820" s="176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</row>
    <row r="821" spans="1:51">
      <c r="A821" s="15"/>
      <c r="B821" s="15"/>
      <c r="C821" s="13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67"/>
      <c r="AM821" s="15"/>
      <c r="AN821" s="176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</row>
    <row r="822" spans="1:51">
      <c r="A822" s="15"/>
      <c r="B822" s="15"/>
      <c r="C822" s="13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67"/>
      <c r="AM822" s="15"/>
      <c r="AN822" s="176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</row>
    <row r="823" spans="1:51">
      <c r="A823" s="15"/>
      <c r="B823" s="15"/>
      <c r="C823" s="13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67"/>
      <c r="AM823" s="15"/>
      <c r="AN823" s="176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</row>
    <row r="824" spans="1:51">
      <c r="A824" s="15"/>
      <c r="B824" s="15"/>
      <c r="C824" s="13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67"/>
      <c r="AM824" s="15"/>
      <c r="AN824" s="176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</row>
    <row r="825" spans="1:51">
      <c r="A825" s="15"/>
      <c r="B825" s="15"/>
      <c r="C825" s="13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67"/>
      <c r="AM825" s="15"/>
      <c r="AN825" s="176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</row>
    <row r="826" spans="1:51">
      <c r="A826" s="15"/>
      <c r="B826" s="15"/>
      <c r="C826" s="13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67"/>
      <c r="AM826" s="15"/>
      <c r="AN826" s="176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</row>
    <row r="827" spans="1:51">
      <c r="A827" s="15"/>
      <c r="B827" s="15"/>
      <c r="C827" s="13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67"/>
      <c r="AM827" s="15"/>
      <c r="AN827" s="176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</row>
    <row r="828" spans="1:51">
      <c r="A828" s="15"/>
      <c r="B828" s="15"/>
      <c r="C828" s="13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67"/>
      <c r="AM828" s="15"/>
      <c r="AN828" s="176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</row>
    <row r="829" spans="1:51">
      <c r="A829" s="15"/>
      <c r="B829" s="15"/>
      <c r="C829" s="13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67"/>
      <c r="AM829" s="15"/>
      <c r="AN829" s="176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</row>
    <row r="830" spans="1:51">
      <c r="A830" s="15"/>
      <c r="B830" s="15"/>
      <c r="C830" s="13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67"/>
      <c r="AM830" s="15"/>
      <c r="AN830" s="176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</row>
    <row r="831" spans="1:51">
      <c r="A831" s="15"/>
      <c r="B831" s="15"/>
      <c r="C831" s="13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67"/>
      <c r="AM831" s="15"/>
      <c r="AN831" s="176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</row>
    <row r="832" spans="1:51">
      <c r="A832" s="15"/>
      <c r="B832" s="15"/>
      <c r="C832" s="13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67"/>
      <c r="AM832" s="15"/>
      <c r="AN832" s="176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</row>
    <row r="833" spans="1:51">
      <c r="A833" s="15"/>
      <c r="B833" s="15"/>
      <c r="C833" s="13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67"/>
      <c r="AM833" s="15"/>
      <c r="AN833" s="176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</row>
    <row r="834" spans="1:51">
      <c r="A834" s="15"/>
      <c r="B834" s="15"/>
      <c r="C834" s="13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67"/>
      <c r="AM834" s="15"/>
      <c r="AN834" s="176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</row>
    <row r="835" spans="1:51">
      <c r="A835" s="15"/>
      <c r="B835" s="15"/>
      <c r="C835" s="13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67"/>
      <c r="AM835" s="15"/>
      <c r="AN835" s="176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</row>
    <row r="836" spans="1:51">
      <c r="A836" s="15"/>
      <c r="B836" s="15"/>
      <c r="C836" s="13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67"/>
      <c r="AM836" s="15"/>
      <c r="AN836" s="176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</row>
    <row r="837" spans="1:51">
      <c r="A837" s="15"/>
      <c r="B837" s="15"/>
      <c r="C837" s="13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67"/>
      <c r="AM837" s="15"/>
      <c r="AN837" s="176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</row>
    <row r="838" spans="1:51">
      <c r="A838" s="15"/>
      <c r="B838" s="15"/>
      <c r="C838" s="13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67"/>
      <c r="AM838" s="15"/>
      <c r="AN838" s="176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</row>
    <row r="839" spans="1:51">
      <c r="A839" s="15"/>
      <c r="B839" s="15"/>
      <c r="C839" s="13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67"/>
      <c r="AM839" s="15"/>
      <c r="AN839" s="176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</row>
    <row r="840" spans="1:51">
      <c r="A840" s="15"/>
      <c r="B840" s="15"/>
      <c r="C840" s="13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67"/>
      <c r="AM840" s="15"/>
      <c r="AN840" s="176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</row>
    <row r="841" spans="1:51">
      <c r="A841" s="15"/>
      <c r="B841" s="15"/>
      <c r="C841" s="13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67"/>
      <c r="AM841" s="15"/>
      <c r="AN841" s="176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</row>
    <row r="842" spans="1:51">
      <c r="A842" s="15"/>
      <c r="B842" s="15"/>
      <c r="C842" s="13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67"/>
      <c r="AM842" s="15"/>
      <c r="AN842" s="176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</row>
    <row r="843" spans="1:51">
      <c r="A843" s="15"/>
      <c r="B843" s="15"/>
      <c r="C843" s="13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67"/>
      <c r="AM843" s="15"/>
      <c r="AN843" s="176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</row>
    <row r="844" spans="1:51">
      <c r="A844" s="15"/>
      <c r="B844" s="15"/>
      <c r="C844" s="13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67"/>
      <c r="AM844" s="15"/>
      <c r="AN844" s="176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</row>
    <row r="845" spans="1:51">
      <c r="A845" s="15"/>
      <c r="B845" s="15"/>
      <c r="C845" s="13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67"/>
      <c r="AM845" s="15"/>
      <c r="AN845" s="176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</row>
    <row r="846" spans="1:51">
      <c r="A846" s="15"/>
      <c r="B846" s="15"/>
      <c r="C846" s="13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67"/>
      <c r="AM846" s="15"/>
      <c r="AN846" s="176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</row>
    <row r="847" spans="1:51">
      <c r="A847" s="15"/>
      <c r="B847" s="15"/>
      <c r="C847" s="13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67"/>
      <c r="AM847" s="15"/>
      <c r="AN847" s="176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</row>
    <row r="848" spans="1:51">
      <c r="A848" s="15"/>
      <c r="B848" s="15"/>
      <c r="C848" s="13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67"/>
      <c r="AM848" s="15"/>
      <c r="AN848" s="176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</row>
    <row r="849" spans="1:51">
      <c r="A849" s="15"/>
      <c r="B849" s="15"/>
      <c r="C849" s="13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67"/>
      <c r="AM849" s="15"/>
      <c r="AN849" s="176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</row>
    <row r="850" spans="1:51">
      <c r="A850" s="15"/>
      <c r="B850" s="15"/>
      <c r="C850" s="13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67"/>
      <c r="AM850" s="15"/>
      <c r="AN850" s="176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</row>
    <row r="851" spans="1:51">
      <c r="A851" s="15"/>
      <c r="B851" s="15"/>
      <c r="C851" s="13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67"/>
      <c r="AM851" s="15"/>
      <c r="AN851" s="176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</row>
    <row r="852" spans="1:51">
      <c r="A852" s="15"/>
      <c r="B852" s="15"/>
      <c r="C852" s="13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67"/>
      <c r="AM852" s="15"/>
      <c r="AN852" s="176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</row>
    <row r="853" spans="1:51">
      <c r="A853" s="15"/>
      <c r="B853" s="15"/>
      <c r="C853" s="13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67"/>
      <c r="AM853" s="15"/>
      <c r="AN853" s="176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</row>
    <row r="854" spans="1:51">
      <c r="A854" s="15"/>
      <c r="B854" s="15"/>
      <c r="C854" s="13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67"/>
      <c r="AM854" s="15"/>
      <c r="AN854" s="176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</row>
    <row r="855" spans="1:51">
      <c r="A855" s="15"/>
      <c r="B855" s="15"/>
      <c r="C855" s="13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67"/>
      <c r="AM855" s="15"/>
      <c r="AN855" s="176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</row>
    <row r="856" spans="1:51">
      <c r="A856" s="15"/>
      <c r="B856" s="15"/>
      <c r="C856" s="13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67"/>
      <c r="AM856" s="15"/>
      <c r="AN856" s="176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</row>
    <row r="857" spans="1:51">
      <c r="A857" s="15"/>
      <c r="B857" s="15"/>
      <c r="C857" s="13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67"/>
      <c r="AM857" s="15"/>
      <c r="AN857" s="176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</row>
    <row r="858" spans="1:51">
      <c r="A858" s="15"/>
      <c r="B858" s="15"/>
      <c r="C858" s="13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67"/>
      <c r="AM858" s="15"/>
      <c r="AN858" s="176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</row>
    <row r="859" spans="1:51">
      <c r="A859" s="15"/>
      <c r="B859" s="15"/>
      <c r="C859" s="13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67"/>
      <c r="AM859" s="15"/>
      <c r="AN859" s="176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</row>
    <row r="860" spans="1:51">
      <c r="A860" s="15"/>
      <c r="B860" s="15"/>
      <c r="C860" s="13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67"/>
      <c r="AM860" s="15"/>
      <c r="AN860" s="176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</row>
    <row r="861" spans="1:51">
      <c r="A861" s="15"/>
      <c r="B861" s="15"/>
      <c r="C861" s="13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67"/>
      <c r="AM861" s="15"/>
      <c r="AN861" s="176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</row>
    <row r="862" spans="1:51">
      <c r="A862" s="15"/>
      <c r="B862" s="15"/>
      <c r="C862" s="13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67"/>
      <c r="AM862" s="15"/>
      <c r="AN862" s="176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</row>
    <row r="863" spans="1:51">
      <c r="A863" s="15"/>
      <c r="B863" s="15"/>
      <c r="C863" s="13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67"/>
      <c r="AM863" s="15"/>
      <c r="AN863" s="176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</row>
    <row r="864" spans="1:51">
      <c r="A864" s="15"/>
      <c r="B864" s="15"/>
      <c r="C864" s="13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67"/>
      <c r="AM864" s="15"/>
      <c r="AN864" s="176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</row>
    <row r="865" spans="1:51">
      <c r="A865" s="15"/>
      <c r="B865" s="15"/>
      <c r="C865" s="13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67"/>
      <c r="AM865" s="15"/>
      <c r="AN865" s="176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</row>
    <row r="866" spans="1:51">
      <c r="A866" s="15"/>
      <c r="B866" s="15"/>
      <c r="C866" s="13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67"/>
      <c r="AM866" s="15"/>
      <c r="AN866" s="176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</row>
    <row r="867" spans="1:51">
      <c r="A867" s="15"/>
      <c r="B867" s="15"/>
      <c r="C867" s="13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67"/>
      <c r="AM867" s="15"/>
      <c r="AN867" s="176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</row>
    <row r="868" spans="1:51">
      <c r="A868" s="15"/>
      <c r="B868" s="15"/>
      <c r="C868" s="13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67"/>
      <c r="AM868" s="15"/>
      <c r="AN868" s="176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</row>
    <row r="869" spans="1:51">
      <c r="A869" s="15"/>
      <c r="B869" s="15"/>
      <c r="C869" s="13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67"/>
      <c r="AM869" s="15"/>
      <c r="AN869" s="176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</row>
    <row r="870" spans="1:51">
      <c r="A870" s="15"/>
      <c r="B870" s="15"/>
      <c r="C870" s="13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67"/>
      <c r="AM870" s="15"/>
      <c r="AN870" s="176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</row>
    <row r="871" spans="1:51">
      <c r="A871" s="15"/>
      <c r="B871" s="15"/>
      <c r="C871" s="13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67"/>
      <c r="AM871" s="15"/>
      <c r="AN871" s="176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</row>
    <row r="872" spans="1:51">
      <c r="A872" s="15"/>
      <c r="B872" s="15"/>
      <c r="C872" s="13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67"/>
      <c r="AM872" s="15"/>
      <c r="AN872" s="176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</row>
    <row r="873" spans="1:51">
      <c r="A873" s="15"/>
      <c r="B873" s="15"/>
      <c r="C873" s="13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67"/>
      <c r="AM873" s="15"/>
      <c r="AN873" s="176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</row>
    <row r="874" spans="1:51">
      <c r="A874" s="15"/>
      <c r="B874" s="15"/>
      <c r="C874" s="13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67"/>
      <c r="AM874" s="15"/>
      <c r="AN874" s="176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</row>
    <row r="875" spans="1:51">
      <c r="A875" s="15"/>
      <c r="B875" s="15"/>
      <c r="C875" s="13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67"/>
      <c r="AM875" s="15"/>
      <c r="AN875" s="176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</row>
    <row r="876" spans="1:51">
      <c r="A876" s="15"/>
      <c r="B876" s="15"/>
      <c r="C876" s="13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67"/>
      <c r="AM876" s="15"/>
      <c r="AN876" s="176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</row>
    <row r="877" spans="1:51">
      <c r="A877" s="15"/>
      <c r="B877" s="15"/>
      <c r="C877" s="13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67"/>
      <c r="AM877" s="15"/>
      <c r="AN877" s="176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</row>
    <row r="878" spans="1:51">
      <c r="A878" s="15"/>
      <c r="B878" s="15"/>
      <c r="C878" s="13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67"/>
      <c r="AM878" s="15"/>
      <c r="AN878" s="176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</row>
    <row r="879" spans="1:51">
      <c r="A879" s="15"/>
      <c r="B879" s="15"/>
      <c r="C879" s="13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67"/>
      <c r="AM879" s="15"/>
      <c r="AN879" s="176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</row>
    <row r="880" spans="1:51">
      <c r="A880" s="15"/>
      <c r="B880" s="15"/>
      <c r="C880" s="13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67"/>
      <c r="AM880" s="15"/>
      <c r="AN880" s="176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</row>
    <row r="881" spans="1:51">
      <c r="A881" s="15"/>
      <c r="B881" s="15"/>
      <c r="C881" s="13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67"/>
      <c r="AM881" s="15"/>
      <c r="AN881" s="176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</row>
    <row r="882" spans="1:51">
      <c r="A882" s="15"/>
      <c r="B882" s="15"/>
      <c r="C882" s="13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67"/>
      <c r="AM882" s="15"/>
      <c r="AN882" s="176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</row>
    <row r="883" spans="1:51">
      <c r="A883" s="15"/>
      <c r="B883" s="15"/>
      <c r="C883" s="13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67"/>
      <c r="AM883" s="15"/>
      <c r="AN883" s="176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</row>
    <row r="884" spans="1:51">
      <c r="A884" s="15"/>
      <c r="B884" s="15"/>
      <c r="C884" s="13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67"/>
      <c r="AM884" s="15"/>
      <c r="AN884" s="176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</row>
    <row r="885" spans="1:51">
      <c r="A885" s="15"/>
      <c r="B885" s="15"/>
      <c r="C885" s="13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67"/>
      <c r="AM885" s="15"/>
      <c r="AN885" s="176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</row>
    <row r="886" spans="1:51">
      <c r="A886" s="15"/>
      <c r="B886" s="15"/>
      <c r="C886" s="13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67"/>
      <c r="AM886" s="15"/>
      <c r="AN886" s="176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</row>
    <row r="887" spans="1:51">
      <c r="A887" s="15"/>
      <c r="B887" s="15"/>
      <c r="C887" s="13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67"/>
      <c r="AM887" s="15"/>
      <c r="AN887" s="176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</row>
    <row r="888" spans="1:51">
      <c r="A888" s="15"/>
      <c r="B888" s="15"/>
      <c r="C888" s="13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67"/>
      <c r="AM888" s="15"/>
      <c r="AN888" s="176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</row>
    <row r="889" spans="1:51">
      <c r="A889" s="15"/>
      <c r="B889" s="15"/>
      <c r="C889" s="13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67"/>
      <c r="AM889" s="15"/>
      <c r="AN889" s="176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</row>
    <row r="890" spans="1:51">
      <c r="A890" s="15"/>
      <c r="B890" s="15"/>
      <c r="C890" s="13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67"/>
      <c r="AM890" s="15"/>
      <c r="AN890" s="176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</row>
    <row r="891" spans="1:51">
      <c r="A891" s="15"/>
      <c r="B891" s="15"/>
      <c r="C891" s="13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67"/>
      <c r="AM891" s="15"/>
      <c r="AN891" s="176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</row>
    <row r="892" spans="1:51">
      <c r="A892" s="15"/>
      <c r="B892" s="15"/>
      <c r="C892" s="13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67"/>
      <c r="AM892" s="15"/>
      <c r="AN892" s="176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</row>
    <row r="893" spans="1:51">
      <c r="A893" s="15"/>
      <c r="B893" s="15"/>
      <c r="C893" s="13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67"/>
      <c r="AM893" s="15"/>
      <c r="AN893" s="176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</row>
    <row r="894" spans="1:51">
      <c r="A894" s="15"/>
      <c r="B894" s="15"/>
      <c r="C894" s="13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67"/>
      <c r="AM894" s="15"/>
      <c r="AN894" s="176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</row>
    <row r="895" spans="1:51">
      <c r="A895" s="15"/>
      <c r="B895" s="15"/>
      <c r="C895" s="13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67"/>
      <c r="AM895" s="15"/>
      <c r="AN895" s="176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</row>
    <row r="896" spans="1:51">
      <c r="A896" s="15"/>
      <c r="B896" s="15"/>
      <c r="C896" s="13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67"/>
      <c r="AM896" s="15"/>
      <c r="AN896" s="176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</row>
    <row r="897" spans="1:51">
      <c r="A897" s="15"/>
      <c r="B897" s="15"/>
      <c r="C897" s="13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67"/>
      <c r="AM897" s="15"/>
      <c r="AN897" s="176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</row>
    <row r="898" spans="1:51">
      <c r="A898" s="15"/>
      <c r="B898" s="15"/>
      <c r="C898" s="13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67"/>
      <c r="AM898" s="15"/>
      <c r="AN898" s="176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</row>
    <row r="899" spans="1:51">
      <c r="A899" s="15"/>
      <c r="B899" s="15"/>
      <c r="C899" s="13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67"/>
      <c r="AM899" s="15"/>
      <c r="AN899" s="176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</row>
    <row r="900" spans="1:51">
      <c r="A900" s="15"/>
      <c r="B900" s="15"/>
      <c r="C900" s="13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67"/>
      <c r="AM900" s="15"/>
      <c r="AN900" s="176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</row>
    <row r="901" spans="1:51">
      <c r="A901" s="15"/>
      <c r="B901" s="15"/>
      <c r="C901" s="13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67"/>
      <c r="AM901" s="15"/>
      <c r="AN901" s="176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</row>
    <row r="902" spans="1:51">
      <c r="A902" s="15"/>
      <c r="B902" s="15"/>
      <c r="C902" s="13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67"/>
      <c r="AM902" s="15"/>
      <c r="AN902" s="176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</row>
    <row r="903" spans="1:51">
      <c r="A903" s="15"/>
      <c r="B903" s="15"/>
      <c r="C903" s="13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67"/>
      <c r="AM903" s="15"/>
      <c r="AN903" s="176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</row>
    <row r="904" spans="1:51">
      <c r="A904" s="15"/>
      <c r="B904" s="15"/>
      <c r="C904" s="13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67"/>
      <c r="AM904" s="15"/>
      <c r="AN904" s="176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</row>
    <row r="905" spans="1:51">
      <c r="A905" s="15"/>
      <c r="B905" s="15"/>
      <c r="C905" s="13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67"/>
      <c r="AM905" s="15"/>
      <c r="AN905" s="176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</row>
    <row r="906" spans="1:51">
      <c r="A906" s="15"/>
      <c r="B906" s="15"/>
      <c r="C906" s="13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67"/>
      <c r="AM906" s="15"/>
      <c r="AN906" s="176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</row>
    <row r="907" spans="1:51">
      <c r="A907" s="15"/>
      <c r="B907" s="15"/>
      <c r="C907" s="13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67"/>
      <c r="AM907" s="15"/>
      <c r="AN907" s="176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</row>
    <row r="908" spans="1:51">
      <c r="A908" s="15"/>
      <c r="B908" s="15"/>
      <c r="C908" s="13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67"/>
      <c r="AM908" s="15"/>
      <c r="AN908" s="176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</row>
    <row r="909" spans="1:51">
      <c r="A909" s="15"/>
      <c r="B909" s="15"/>
      <c r="C909" s="13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67"/>
      <c r="AM909" s="15"/>
      <c r="AN909" s="176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</row>
    <row r="910" spans="1:51">
      <c r="A910" s="15"/>
      <c r="B910" s="15"/>
      <c r="C910" s="13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67"/>
      <c r="AM910" s="15"/>
      <c r="AN910" s="176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</row>
    <row r="911" spans="1:51">
      <c r="A911" s="15"/>
      <c r="B911" s="15"/>
      <c r="C911" s="13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67"/>
      <c r="AM911" s="15"/>
      <c r="AN911" s="176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</row>
    <row r="912" spans="1:51">
      <c r="A912" s="15"/>
      <c r="B912" s="15"/>
      <c r="C912" s="13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67"/>
      <c r="AM912" s="15"/>
      <c r="AN912" s="176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</row>
    <row r="913" spans="1:51">
      <c r="A913" s="15"/>
      <c r="B913" s="15"/>
      <c r="C913" s="13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67"/>
      <c r="AM913" s="15"/>
      <c r="AN913" s="176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</row>
    <row r="914" spans="1:51">
      <c r="A914" s="15"/>
      <c r="B914" s="15"/>
      <c r="C914" s="13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67"/>
      <c r="AM914" s="15"/>
      <c r="AN914" s="176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</row>
    <row r="915" spans="1:51">
      <c r="A915" s="15"/>
      <c r="B915" s="15"/>
      <c r="C915" s="13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67"/>
      <c r="AM915" s="15"/>
      <c r="AN915" s="176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</row>
    <row r="916" spans="1:51">
      <c r="A916" s="15"/>
      <c r="B916" s="15"/>
      <c r="C916" s="13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67"/>
      <c r="AM916" s="15"/>
      <c r="AN916" s="176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</row>
    <row r="917" spans="1:51">
      <c r="A917" s="15"/>
      <c r="B917" s="15"/>
      <c r="C917" s="13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67"/>
      <c r="AM917" s="15"/>
      <c r="AN917" s="176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</row>
    <row r="918" spans="1:51">
      <c r="A918" s="15"/>
      <c r="B918" s="15"/>
      <c r="C918" s="13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67"/>
      <c r="AM918" s="15"/>
      <c r="AN918" s="176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</row>
    <row r="919" spans="1:51">
      <c r="A919" s="15"/>
      <c r="B919" s="15"/>
      <c r="C919" s="13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67"/>
      <c r="AM919" s="15"/>
      <c r="AN919" s="176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</row>
    <row r="920" spans="1:51">
      <c r="A920" s="15"/>
      <c r="B920" s="15"/>
      <c r="C920" s="13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67"/>
      <c r="AM920" s="15"/>
      <c r="AN920" s="176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</row>
    <row r="921" spans="1:51">
      <c r="A921" s="15"/>
      <c r="B921" s="15"/>
      <c r="C921" s="13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67"/>
      <c r="AM921" s="15"/>
      <c r="AN921" s="176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</row>
    <row r="922" spans="1:51">
      <c r="A922" s="15"/>
      <c r="B922" s="15"/>
      <c r="C922" s="13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67"/>
      <c r="AM922" s="15"/>
      <c r="AN922" s="176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</row>
    <row r="923" spans="1:51">
      <c r="A923" s="15"/>
      <c r="B923" s="15"/>
      <c r="C923" s="13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67"/>
      <c r="AM923" s="15"/>
      <c r="AN923" s="176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</row>
    <row r="924" spans="1:51">
      <c r="A924" s="15"/>
      <c r="B924" s="15"/>
      <c r="C924" s="13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67"/>
      <c r="AM924" s="15"/>
      <c r="AN924" s="176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</row>
    <row r="925" spans="1:51">
      <c r="A925" s="15"/>
      <c r="B925" s="15"/>
      <c r="C925" s="13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67"/>
      <c r="AM925" s="15"/>
      <c r="AN925" s="176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</row>
    <row r="926" spans="1:51">
      <c r="A926" s="15"/>
      <c r="B926" s="15"/>
      <c r="C926" s="13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67"/>
      <c r="AM926" s="15"/>
      <c r="AN926" s="176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</row>
    <row r="927" spans="1:51">
      <c r="A927" s="15"/>
      <c r="B927" s="15"/>
      <c r="C927" s="13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67"/>
      <c r="AM927" s="15"/>
      <c r="AN927" s="176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</row>
    <row r="928" spans="1:51">
      <c r="A928" s="15"/>
      <c r="B928" s="15"/>
      <c r="C928" s="13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67"/>
      <c r="AM928" s="15"/>
      <c r="AN928" s="176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</row>
    <row r="929" spans="1:51">
      <c r="A929" s="15"/>
      <c r="B929" s="15"/>
      <c r="C929" s="13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67"/>
      <c r="AM929" s="15"/>
      <c r="AN929" s="176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</row>
    <row r="930" spans="1:51">
      <c r="A930" s="15"/>
      <c r="B930" s="15"/>
      <c r="C930" s="13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67"/>
      <c r="AM930" s="15"/>
      <c r="AN930" s="176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</row>
    <row r="931" spans="1:51">
      <c r="A931" s="15"/>
      <c r="B931" s="15"/>
      <c r="C931" s="13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67"/>
      <c r="AM931" s="15"/>
      <c r="AN931" s="176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</row>
    <row r="932" spans="1:51">
      <c r="A932" s="15"/>
      <c r="B932" s="15"/>
      <c r="C932" s="13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67"/>
      <c r="AM932" s="15"/>
      <c r="AN932" s="176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</row>
    <row r="933" spans="1:51">
      <c r="A933" s="15"/>
      <c r="B933" s="15"/>
      <c r="C933" s="13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67"/>
      <c r="AM933" s="15"/>
      <c r="AN933" s="176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</row>
    <row r="934" spans="1:51">
      <c r="A934" s="15"/>
      <c r="B934" s="15"/>
      <c r="C934" s="13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67"/>
      <c r="AM934" s="15"/>
      <c r="AN934" s="176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</row>
    <row r="935" spans="1:51">
      <c r="A935" s="15"/>
      <c r="B935" s="15"/>
      <c r="C935" s="13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67"/>
      <c r="AM935" s="15"/>
      <c r="AN935" s="176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</row>
    <row r="936" spans="1:51">
      <c r="A936" s="15"/>
      <c r="B936" s="15"/>
      <c r="C936" s="13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67"/>
      <c r="AM936" s="15"/>
      <c r="AN936" s="176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</row>
    <row r="937" spans="1:51">
      <c r="A937" s="15"/>
      <c r="B937" s="15"/>
      <c r="C937" s="13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67"/>
      <c r="AM937" s="15"/>
      <c r="AN937" s="176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</row>
    <row r="938" spans="1:51">
      <c r="A938" s="15"/>
      <c r="B938" s="15"/>
      <c r="C938" s="13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67"/>
      <c r="AM938" s="15"/>
      <c r="AN938" s="176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</row>
    <row r="939" spans="1:51">
      <c r="A939" s="15"/>
      <c r="B939" s="15"/>
      <c r="C939" s="13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67"/>
      <c r="AM939" s="15"/>
      <c r="AN939" s="176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</row>
    <row r="940" spans="1:51">
      <c r="A940" s="15"/>
      <c r="B940" s="15"/>
      <c r="C940" s="13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67"/>
      <c r="AM940" s="15"/>
      <c r="AN940" s="176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</row>
    <row r="941" spans="1:51">
      <c r="A941" s="15"/>
      <c r="B941" s="15"/>
      <c r="C941" s="13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67"/>
      <c r="AM941" s="15"/>
      <c r="AN941" s="176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</row>
    <row r="942" spans="1:51">
      <c r="A942" s="15"/>
      <c r="B942" s="15"/>
      <c r="C942" s="13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67"/>
      <c r="AM942" s="15"/>
      <c r="AN942" s="176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</row>
    <row r="943" spans="1:51">
      <c r="A943" s="15"/>
      <c r="B943" s="15"/>
      <c r="C943" s="13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67"/>
      <c r="AM943" s="15"/>
      <c r="AN943" s="176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</row>
    <row r="944" spans="1:51">
      <c r="A944" s="15"/>
      <c r="B944" s="15"/>
      <c r="C944" s="13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67"/>
      <c r="AM944" s="15"/>
      <c r="AN944" s="176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</row>
    <row r="945" spans="1:51">
      <c r="A945" s="15"/>
      <c r="B945" s="15"/>
      <c r="C945" s="13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67"/>
      <c r="AM945" s="15"/>
      <c r="AN945" s="176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</row>
    <row r="946" spans="1:51">
      <c r="A946" s="15"/>
      <c r="B946" s="15"/>
      <c r="C946" s="13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67"/>
      <c r="AM946" s="15"/>
      <c r="AN946" s="176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</row>
    <row r="947" spans="1:51">
      <c r="A947" s="15"/>
      <c r="B947" s="15"/>
      <c r="C947" s="13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67"/>
      <c r="AM947" s="15"/>
      <c r="AN947" s="176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</row>
    <row r="948" spans="1:51">
      <c r="A948" s="15"/>
      <c r="B948" s="15"/>
      <c r="C948" s="13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67"/>
      <c r="AM948" s="15"/>
      <c r="AN948" s="176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</row>
    <row r="949" spans="1:51">
      <c r="A949" s="15"/>
      <c r="B949" s="15"/>
      <c r="C949" s="13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67"/>
      <c r="AM949" s="15"/>
      <c r="AN949" s="176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</row>
    <row r="950" spans="1:51">
      <c r="A950" s="15"/>
      <c r="B950" s="15"/>
      <c r="C950" s="13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67"/>
      <c r="AM950" s="15"/>
      <c r="AN950" s="176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</row>
    <row r="951" spans="1:51">
      <c r="A951" s="15"/>
      <c r="B951" s="15"/>
      <c r="C951" s="13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67"/>
      <c r="AM951" s="15"/>
      <c r="AN951" s="176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</row>
    <row r="952" spans="1:51">
      <c r="A952" s="15"/>
      <c r="B952" s="15"/>
      <c r="C952" s="13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67"/>
      <c r="AM952" s="15"/>
      <c r="AN952" s="176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</row>
    <row r="953" spans="1:51">
      <c r="A953" s="15"/>
      <c r="B953" s="15"/>
      <c r="C953" s="13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67"/>
      <c r="AM953" s="15"/>
      <c r="AN953" s="176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</row>
    <row r="954" spans="1:51">
      <c r="A954" s="15"/>
      <c r="B954" s="15"/>
      <c r="C954" s="13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67"/>
      <c r="AM954" s="15"/>
      <c r="AN954" s="176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</row>
    <row r="955" spans="1:51">
      <c r="A955" s="15"/>
      <c r="B955" s="15"/>
      <c r="C955" s="13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67"/>
      <c r="AM955" s="15"/>
      <c r="AN955" s="176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</row>
    <row r="956" spans="1:51">
      <c r="A956" s="15"/>
      <c r="B956" s="15"/>
      <c r="C956" s="13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67"/>
      <c r="AM956" s="15"/>
      <c r="AN956" s="176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</row>
    <row r="957" spans="1:51">
      <c r="A957" s="15"/>
      <c r="B957" s="15"/>
      <c r="C957" s="13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67"/>
      <c r="AM957" s="15"/>
      <c r="AN957" s="176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</row>
    <row r="958" spans="1:51">
      <c r="A958" s="15"/>
      <c r="B958" s="15"/>
      <c r="C958" s="13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67"/>
      <c r="AM958" s="15"/>
      <c r="AN958" s="176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</row>
    <row r="959" spans="1:51">
      <c r="A959" s="15"/>
      <c r="B959" s="15"/>
      <c r="C959" s="13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67"/>
      <c r="AM959" s="15"/>
      <c r="AN959" s="176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</row>
    <row r="960" spans="1:51">
      <c r="A960" s="15"/>
      <c r="B960" s="15"/>
      <c r="C960" s="13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67"/>
      <c r="AM960" s="15"/>
      <c r="AN960" s="176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</row>
    <row r="961" spans="1:51">
      <c r="A961" s="15"/>
      <c r="B961" s="15"/>
      <c r="C961" s="13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67"/>
      <c r="AM961" s="15"/>
      <c r="AN961" s="176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</row>
    <row r="962" spans="1:51">
      <c r="A962" s="15"/>
      <c r="B962" s="15"/>
      <c r="C962" s="13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67"/>
      <c r="AM962" s="15"/>
      <c r="AN962" s="176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</row>
    <row r="963" spans="1:51">
      <c r="A963" s="15"/>
      <c r="B963" s="15"/>
      <c r="C963" s="13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67"/>
      <c r="AM963" s="15"/>
      <c r="AN963" s="176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</row>
    <row r="964" spans="1:51">
      <c r="A964" s="15"/>
      <c r="B964" s="15"/>
      <c r="C964" s="13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67"/>
      <c r="AM964" s="15"/>
      <c r="AN964" s="176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</row>
    <row r="965" spans="1:51">
      <c r="A965" s="15"/>
      <c r="B965" s="15"/>
      <c r="C965" s="13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67"/>
      <c r="AM965" s="15"/>
      <c r="AN965" s="176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</row>
    <row r="966" spans="1:51">
      <c r="A966" s="15"/>
      <c r="B966" s="15"/>
      <c r="C966" s="13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67"/>
      <c r="AM966" s="15"/>
      <c r="AN966" s="176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</row>
    <row r="967" spans="1:51">
      <c r="A967" s="15"/>
      <c r="B967" s="15"/>
      <c r="C967" s="13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67"/>
      <c r="AM967" s="15"/>
      <c r="AN967" s="176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</row>
    <row r="968" spans="1:51">
      <c r="A968" s="15"/>
      <c r="B968" s="15"/>
      <c r="C968" s="13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67"/>
      <c r="AM968" s="15"/>
      <c r="AN968" s="176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</row>
    <row r="969" spans="1:51">
      <c r="A969" s="15"/>
      <c r="B969" s="15"/>
      <c r="C969" s="13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67"/>
      <c r="AM969" s="15"/>
      <c r="AN969" s="176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</row>
    <row r="970" spans="1:51">
      <c r="A970" s="15"/>
      <c r="B970" s="15"/>
      <c r="C970" s="13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67"/>
      <c r="AM970" s="15"/>
      <c r="AN970" s="176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</row>
    <row r="971" spans="1:51">
      <c r="A971" s="15"/>
      <c r="B971" s="15"/>
      <c r="C971" s="13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67"/>
      <c r="AM971" s="15"/>
      <c r="AN971" s="176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</row>
    <row r="972" spans="1:51">
      <c r="A972" s="15"/>
      <c r="B972" s="15"/>
      <c r="C972" s="13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67"/>
      <c r="AM972" s="15"/>
      <c r="AN972" s="176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</row>
    <row r="973" spans="1:51">
      <c r="A973" s="15"/>
      <c r="B973" s="15"/>
      <c r="C973" s="13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67"/>
      <c r="AM973" s="15"/>
      <c r="AN973" s="176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</row>
    <row r="974" spans="1:51">
      <c r="A974" s="15"/>
      <c r="B974" s="15"/>
      <c r="C974" s="13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67"/>
      <c r="AM974" s="15"/>
      <c r="AN974" s="176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</row>
    <row r="975" spans="1:51">
      <c r="A975" s="15"/>
      <c r="B975" s="15"/>
      <c r="C975" s="13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67"/>
      <c r="AM975" s="15"/>
      <c r="AN975" s="176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</row>
    <row r="976" spans="1:51">
      <c r="A976" s="15"/>
      <c r="B976" s="15"/>
      <c r="C976" s="13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67"/>
      <c r="AM976" s="15"/>
      <c r="AN976" s="176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</row>
    <row r="977" spans="1:51">
      <c r="A977" s="15"/>
      <c r="B977" s="15"/>
      <c r="C977" s="13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67"/>
      <c r="AM977" s="15"/>
      <c r="AN977" s="176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</row>
    <row r="978" spans="1:51">
      <c r="A978" s="15"/>
      <c r="B978" s="15"/>
      <c r="C978" s="13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67"/>
      <c r="AM978" s="15"/>
      <c r="AN978" s="176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</row>
    <row r="979" spans="1:51">
      <c r="A979" s="15"/>
      <c r="B979" s="15"/>
      <c r="C979" s="13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67"/>
      <c r="AM979" s="15"/>
      <c r="AN979" s="176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</row>
    <row r="980" spans="1:51">
      <c r="A980" s="15"/>
      <c r="B980" s="15"/>
      <c r="C980" s="13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67"/>
      <c r="AM980" s="15"/>
      <c r="AN980" s="176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</row>
    <row r="981" spans="1:51">
      <c r="A981" s="15"/>
      <c r="B981" s="15"/>
      <c r="C981" s="13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67"/>
      <c r="AM981" s="15"/>
      <c r="AN981" s="176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</row>
    <row r="982" spans="1:51">
      <c r="A982" s="15"/>
      <c r="B982" s="15"/>
      <c r="C982" s="13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67"/>
      <c r="AM982" s="15"/>
      <c r="AN982" s="176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</row>
    <row r="983" spans="1:51">
      <c r="A983" s="15"/>
      <c r="B983" s="15"/>
      <c r="C983" s="13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67"/>
      <c r="AM983" s="15"/>
      <c r="AN983" s="176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</row>
    <row r="984" spans="1:51">
      <c r="A984" s="15"/>
      <c r="B984" s="15"/>
      <c r="C984" s="13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67"/>
      <c r="AM984" s="15"/>
      <c r="AN984" s="176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</row>
    <row r="985" spans="1:51">
      <c r="A985" s="15"/>
      <c r="B985" s="15"/>
      <c r="C985" s="13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67"/>
      <c r="AM985" s="15"/>
      <c r="AN985" s="176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</row>
    <row r="986" spans="1:51">
      <c r="A986" s="15"/>
      <c r="B986" s="15"/>
      <c r="C986" s="13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67"/>
      <c r="AM986" s="15"/>
      <c r="AN986" s="176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</row>
    <row r="987" spans="1:51">
      <c r="A987" s="15"/>
      <c r="B987" s="15"/>
      <c r="C987" s="13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67"/>
      <c r="AM987" s="15"/>
      <c r="AN987" s="176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</row>
    <row r="988" spans="1:51">
      <c r="A988" s="15"/>
      <c r="B988" s="15"/>
      <c r="C988" s="13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67"/>
      <c r="AM988" s="15"/>
      <c r="AN988" s="176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</row>
    <row r="989" spans="1:51">
      <c r="A989" s="15"/>
      <c r="B989" s="15"/>
      <c r="C989" s="13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67"/>
      <c r="AM989" s="15"/>
      <c r="AN989" s="176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</row>
    <row r="990" spans="1:51">
      <c r="A990" s="15"/>
      <c r="B990" s="15"/>
      <c r="C990" s="13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67"/>
      <c r="AM990" s="15"/>
      <c r="AN990" s="176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</row>
    <row r="991" spans="1:51">
      <c r="A991" s="15"/>
      <c r="B991" s="15"/>
      <c r="C991" s="13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67"/>
      <c r="AM991" s="15"/>
      <c r="AN991" s="176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</row>
    <row r="992" spans="1:51">
      <c r="A992" s="15"/>
      <c r="B992" s="15"/>
      <c r="C992" s="13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67"/>
      <c r="AM992" s="15"/>
      <c r="AN992" s="176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</row>
    <row r="993" spans="1:51">
      <c r="A993" s="15"/>
      <c r="B993" s="15"/>
      <c r="C993" s="13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67"/>
      <c r="AM993" s="15"/>
      <c r="AN993" s="176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</row>
    <row r="994" spans="1:51">
      <c r="A994" s="15"/>
      <c r="B994" s="15"/>
      <c r="C994" s="13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67"/>
      <c r="AM994" s="15"/>
      <c r="AN994" s="176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</row>
    <row r="995" spans="1:51">
      <c r="A995" s="15"/>
      <c r="B995" s="15"/>
      <c r="C995" s="13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67"/>
      <c r="AM995" s="15"/>
      <c r="AN995" s="176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</row>
    <row r="996" spans="1:51">
      <c r="A996" s="15"/>
      <c r="B996" s="15"/>
      <c r="C996" s="13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67"/>
      <c r="AM996" s="15"/>
      <c r="AN996" s="176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</row>
    <row r="997" spans="1:51">
      <c r="A997" s="15"/>
      <c r="B997" s="15"/>
      <c r="C997" s="13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67"/>
      <c r="AM997" s="15"/>
      <c r="AN997" s="176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</row>
    <row r="998" spans="1:51">
      <c r="A998" s="15"/>
      <c r="B998" s="15"/>
      <c r="C998" s="13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67"/>
      <c r="AM998" s="15"/>
      <c r="AN998" s="176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</row>
    <row r="999" spans="1:51">
      <c r="A999" s="15"/>
      <c r="B999" s="15"/>
      <c r="C999" s="13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67"/>
      <c r="AM999" s="15"/>
      <c r="AN999" s="176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</row>
    <row r="1000" spans="1:51">
      <c r="A1000" s="15"/>
      <c r="B1000" s="15"/>
      <c r="C1000" s="13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67"/>
      <c r="AM1000" s="15"/>
      <c r="AN1000" s="176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59DA-3B3D-4ADF-A0D5-EB4BEA0AA225}">
  <dimension ref="A1:BU29"/>
  <sheetViews>
    <sheetView zoomScale="90" workbookViewId="0">
      <selection activeCell="A10" sqref="A10:XFD10"/>
    </sheetView>
  </sheetViews>
  <sheetFormatPr defaultRowHeight="14.5"/>
  <cols>
    <col min="3" max="3" width="18.7265625" customWidth="1"/>
    <col min="4" max="5" width="13.54296875" customWidth="1"/>
    <col min="6" max="6" width="19.08984375" customWidth="1"/>
    <col min="7" max="7" width="11.1796875" customWidth="1"/>
    <col min="8" max="8" width="12.7265625" customWidth="1"/>
    <col min="9" max="9" width="15.81640625" customWidth="1"/>
    <col min="10" max="10" width="14.453125" customWidth="1"/>
    <col min="11" max="11" width="13.90625" customWidth="1"/>
    <col min="12" max="12" width="11.6328125" customWidth="1"/>
    <col min="13" max="13" width="10.54296875" customWidth="1"/>
    <col min="14" max="14" width="11.81640625" customWidth="1"/>
    <col min="15" max="15" width="16.81640625" customWidth="1"/>
    <col min="17" max="17" width="15.08984375" customWidth="1"/>
    <col min="48" max="48" width="10.81640625" customWidth="1"/>
    <col min="49" max="49" width="9.6328125" customWidth="1"/>
    <col min="56" max="56" width="20.81640625" customWidth="1"/>
    <col min="57" max="57" width="14.81640625" customWidth="1"/>
    <col min="58" max="58" width="17.08984375" customWidth="1"/>
    <col min="59" max="59" width="23" customWidth="1"/>
    <col min="60" max="60" width="17" customWidth="1"/>
    <col min="61" max="61" width="21.7265625" customWidth="1"/>
    <col min="62" max="62" width="25.6328125" customWidth="1"/>
    <col min="64" max="64" width="98.6328125" customWidth="1"/>
    <col min="65" max="65" width="11" customWidth="1"/>
    <col min="66" max="66" width="12.08984375" customWidth="1"/>
    <col min="67" max="67" width="15.26953125" customWidth="1"/>
    <col min="68" max="68" width="12.7265625" customWidth="1"/>
    <col min="69" max="69" width="13" customWidth="1"/>
    <col min="70" max="70" width="11.7265625" customWidth="1"/>
    <col min="71" max="71" width="11.26953125" customWidth="1"/>
    <col min="72" max="72" width="17.81640625" customWidth="1"/>
    <col min="73" max="73" width="12.6328125" customWidth="1"/>
  </cols>
  <sheetData>
    <row r="1" spans="1:73">
      <c r="A1" t="s">
        <v>241</v>
      </c>
    </row>
    <row r="3" spans="1:73">
      <c r="A3" s="177" t="s">
        <v>242</v>
      </c>
      <c r="B3" s="177"/>
      <c r="C3" s="177"/>
      <c r="D3" s="177"/>
      <c r="E3" s="178" t="s">
        <v>272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 t="s">
        <v>243</v>
      </c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 t="s">
        <v>273</v>
      </c>
      <c r="AX3" s="178"/>
      <c r="AY3" s="178"/>
      <c r="AZ3" s="178"/>
      <c r="BA3" s="178"/>
      <c r="BB3" s="178"/>
      <c r="BC3" s="178"/>
      <c r="BD3" s="178"/>
      <c r="BE3" s="178" t="s">
        <v>244</v>
      </c>
      <c r="BF3" s="178"/>
      <c r="BG3" s="178"/>
      <c r="BH3" s="178"/>
      <c r="BI3" s="178"/>
      <c r="BJ3" s="178"/>
    </row>
    <row r="4" spans="1:73">
      <c r="A4" s="177"/>
      <c r="B4" s="177"/>
      <c r="C4" s="177"/>
      <c r="D4" s="177"/>
      <c r="E4" s="178" t="s">
        <v>245</v>
      </c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 t="s">
        <v>246</v>
      </c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 t="s">
        <v>247</v>
      </c>
      <c r="AD4" s="178"/>
      <c r="AE4" s="178"/>
      <c r="AF4" s="178"/>
      <c r="AG4" s="178"/>
      <c r="AH4" s="178"/>
      <c r="AI4" s="178"/>
      <c r="AJ4" s="178"/>
      <c r="AK4" s="178"/>
      <c r="AL4" s="178"/>
      <c r="AM4" s="177" t="s">
        <v>248</v>
      </c>
      <c r="AN4" s="177"/>
      <c r="AO4" s="177"/>
      <c r="AP4" s="177"/>
      <c r="AQ4" s="177"/>
      <c r="AR4" s="177"/>
      <c r="AS4" s="177"/>
      <c r="AT4" s="177"/>
      <c r="AU4" s="177"/>
      <c r="AV4" s="177"/>
      <c r="AW4" s="178" t="s">
        <v>249</v>
      </c>
      <c r="AX4" s="178"/>
      <c r="AY4" s="178"/>
      <c r="AZ4" s="178"/>
      <c r="BA4" s="178" t="s">
        <v>250</v>
      </c>
      <c r="BB4" s="178"/>
      <c r="BC4" s="178"/>
      <c r="BD4" s="178"/>
      <c r="BE4" s="178" t="s">
        <v>251</v>
      </c>
      <c r="BF4" s="178"/>
      <c r="BG4" s="178"/>
      <c r="BH4" s="178" t="s">
        <v>252</v>
      </c>
      <c r="BI4" s="178"/>
      <c r="BJ4" s="178"/>
      <c r="BL4" t="s">
        <v>253</v>
      </c>
    </row>
    <row r="5" spans="1:73">
      <c r="A5" s="177" t="s">
        <v>3</v>
      </c>
      <c r="B5" s="177" t="s">
        <v>254</v>
      </c>
      <c r="C5" s="177" t="s">
        <v>2</v>
      </c>
      <c r="D5" s="177" t="s">
        <v>255</v>
      </c>
      <c r="E5" s="177" t="s">
        <v>256</v>
      </c>
      <c r="F5" s="177" t="s">
        <v>257</v>
      </c>
      <c r="G5" s="177" t="s">
        <v>258</v>
      </c>
      <c r="H5" s="177" t="s">
        <v>259</v>
      </c>
      <c r="I5" s="177" t="s">
        <v>260</v>
      </c>
      <c r="J5" s="177" t="s">
        <v>261</v>
      </c>
      <c r="K5" s="177" t="s">
        <v>262</v>
      </c>
      <c r="L5" s="177" t="s">
        <v>263</v>
      </c>
      <c r="M5" s="177" t="s">
        <v>264</v>
      </c>
      <c r="N5" s="177" t="s">
        <v>265</v>
      </c>
      <c r="O5" s="177" t="s">
        <v>266</v>
      </c>
      <c r="P5" s="177" t="s">
        <v>267</v>
      </c>
      <c r="Q5" s="177" t="s">
        <v>256</v>
      </c>
      <c r="R5" s="177" t="s">
        <v>257</v>
      </c>
      <c r="S5" s="177" t="s">
        <v>258</v>
      </c>
      <c r="T5" s="177" t="s">
        <v>259</v>
      </c>
      <c r="U5" s="177" t="s">
        <v>260</v>
      </c>
      <c r="V5" s="177" t="s">
        <v>261</v>
      </c>
      <c r="W5" s="177" t="s">
        <v>262</v>
      </c>
      <c r="X5" s="177" t="s">
        <v>263</v>
      </c>
      <c r="Y5" s="177" t="s">
        <v>264</v>
      </c>
      <c r="Z5" s="177" t="s">
        <v>265</v>
      </c>
      <c r="AA5" s="177" t="s">
        <v>266</v>
      </c>
      <c r="AB5" s="177" t="s">
        <v>267</v>
      </c>
      <c r="AC5" s="177" t="s">
        <v>258</v>
      </c>
      <c r="AD5" s="177" t="s">
        <v>259</v>
      </c>
      <c r="AE5" s="177" t="s">
        <v>260</v>
      </c>
      <c r="AF5" s="177" t="s">
        <v>261</v>
      </c>
      <c r="AG5" s="177" t="s">
        <v>262</v>
      </c>
      <c r="AH5" s="177" t="s">
        <v>263</v>
      </c>
      <c r="AI5" s="177" t="s">
        <v>264</v>
      </c>
      <c r="AJ5" s="177" t="s">
        <v>265</v>
      </c>
      <c r="AK5" s="177" t="s">
        <v>266</v>
      </c>
      <c r="AL5" s="177" t="s">
        <v>267</v>
      </c>
      <c r="AM5" s="177" t="s">
        <v>258</v>
      </c>
      <c r="AN5" s="177" t="s">
        <v>259</v>
      </c>
      <c r="AO5" s="177" t="s">
        <v>260</v>
      </c>
      <c r="AP5" s="177" t="s">
        <v>261</v>
      </c>
      <c r="AQ5" s="177" t="s">
        <v>262</v>
      </c>
      <c r="AR5" s="177" t="s">
        <v>263</v>
      </c>
      <c r="AS5" s="177" t="s">
        <v>264</v>
      </c>
      <c r="AT5" s="177" t="s">
        <v>265</v>
      </c>
      <c r="AU5" s="177" t="s">
        <v>266</v>
      </c>
      <c r="AV5" s="177" t="s">
        <v>267</v>
      </c>
      <c r="AW5" s="177" t="s">
        <v>256</v>
      </c>
      <c r="AX5" s="177" t="s">
        <v>263</v>
      </c>
      <c r="AY5" s="177" t="s">
        <v>265</v>
      </c>
      <c r="AZ5" s="177" t="s">
        <v>266</v>
      </c>
      <c r="BA5" s="177" t="s">
        <v>256</v>
      </c>
      <c r="BB5" s="177" t="s">
        <v>263</v>
      </c>
      <c r="BC5" s="177" t="s">
        <v>265</v>
      </c>
      <c r="BD5" s="177" t="s">
        <v>266</v>
      </c>
      <c r="BE5" s="177" t="s">
        <v>263</v>
      </c>
      <c r="BF5" s="177" t="s">
        <v>265</v>
      </c>
      <c r="BG5" s="177" t="s">
        <v>266</v>
      </c>
      <c r="BH5" s="177" t="s">
        <v>263</v>
      </c>
      <c r="BI5" s="177" t="s">
        <v>265</v>
      </c>
      <c r="BJ5" s="177" t="s">
        <v>266</v>
      </c>
      <c r="BL5" t="s">
        <v>258</v>
      </c>
      <c r="BM5" t="s">
        <v>259</v>
      </c>
      <c r="BN5" t="s">
        <v>260</v>
      </c>
      <c r="BO5" t="s">
        <v>261</v>
      </c>
      <c r="BP5" t="s">
        <v>262</v>
      </c>
      <c r="BQ5" t="s">
        <v>263</v>
      </c>
      <c r="BR5" t="s">
        <v>264</v>
      </c>
      <c r="BS5" t="s">
        <v>265</v>
      </c>
      <c r="BT5" t="s">
        <v>266</v>
      </c>
      <c r="BU5" t="s">
        <v>267</v>
      </c>
    </row>
    <row r="6" spans="1:73">
      <c r="A6" s="177" t="s">
        <v>268</v>
      </c>
      <c r="B6" s="177" t="s">
        <v>269</v>
      </c>
      <c r="C6" s="177">
        <v>201182298</v>
      </c>
      <c r="D6" s="177" t="s">
        <v>32</v>
      </c>
      <c r="E6" s="177"/>
      <c r="F6" s="177"/>
      <c r="G6" s="177">
        <v>1210</v>
      </c>
      <c r="H6" s="177">
        <v>750</v>
      </c>
      <c r="I6" s="177">
        <v>0</v>
      </c>
      <c r="J6" s="177">
        <v>0</v>
      </c>
      <c r="K6" s="177">
        <v>0</v>
      </c>
      <c r="L6" s="177">
        <v>50.1</v>
      </c>
      <c r="M6" s="177">
        <v>201</v>
      </c>
      <c r="N6" s="177">
        <v>50.3</v>
      </c>
      <c r="O6" s="177">
        <v>233000</v>
      </c>
      <c r="P6" s="177"/>
      <c r="Q6" s="177"/>
      <c r="R6" s="177"/>
      <c r="S6" s="177">
        <v>0.2</v>
      </c>
      <c r="T6" s="177">
        <v>0.09</v>
      </c>
      <c r="U6" s="177">
        <v>0</v>
      </c>
      <c r="V6" s="177">
        <v>0</v>
      </c>
      <c r="W6" s="177">
        <v>0</v>
      </c>
      <c r="X6" s="177">
        <v>0</v>
      </c>
      <c r="Y6" s="177">
        <v>0.01</v>
      </c>
      <c r="Z6" s="177">
        <v>0</v>
      </c>
      <c r="AA6" s="177">
        <v>4.51</v>
      </c>
      <c r="AB6" s="177"/>
      <c r="AC6" s="177">
        <v>1.74</v>
      </c>
      <c r="AD6" s="177">
        <v>18.690000000000001</v>
      </c>
      <c r="AE6" s="177">
        <v>94</v>
      </c>
      <c r="AF6" s="177">
        <v>102.9</v>
      </c>
      <c r="AG6" s="177">
        <v>37.5</v>
      </c>
      <c r="AH6" s="177">
        <v>16.239999999999998</v>
      </c>
      <c r="AI6" s="177">
        <v>9.9780800000000003</v>
      </c>
      <c r="AJ6" s="177">
        <v>4.0464000000000002</v>
      </c>
      <c r="AK6" s="177">
        <v>1.9851300000000001</v>
      </c>
      <c r="AL6" s="177"/>
      <c r="AM6" s="177">
        <v>0.7359</v>
      </c>
      <c r="AN6" s="177">
        <v>5.2058999999999997</v>
      </c>
      <c r="AO6" s="177">
        <v>23.3245</v>
      </c>
      <c r="AP6" s="177">
        <v>23.869199999999999</v>
      </c>
      <c r="AQ6" s="177">
        <v>7.0686999999999998</v>
      </c>
      <c r="AR6" s="177">
        <v>2.6539000000000001</v>
      </c>
      <c r="AS6" s="177">
        <v>0.84560000000000002</v>
      </c>
      <c r="AT6" s="177">
        <v>0.22</v>
      </c>
      <c r="AU6" s="177">
        <v>0.1449</v>
      </c>
      <c r="AV6" s="177"/>
      <c r="AW6" s="177"/>
      <c r="AX6" s="177">
        <v>251</v>
      </c>
      <c r="AY6" s="177">
        <v>3860</v>
      </c>
      <c r="AZ6" s="177">
        <v>720000</v>
      </c>
      <c r="BA6" s="177"/>
      <c r="BB6" s="177">
        <v>0.01</v>
      </c>
      <c r="BC6" s="177">
        <v>0.08</v>
      </c>
      <c r="BD6" s="177">
        <v>10.33</v>
      </c>
      <c r="BE6" s="177">
        <v>20.22</v>
      </c>
      <c r="BF6" s="177">
        <v>15.748799999999999</v>
      </c>
      <c r="BG6" s="177">
        <v>2.3763040000000002</v>
      </c>
      <c r="BH6" s="177">
        <v>3.8014999999999999</v>
      </c>
      <c r="BI6" s="177">
        <v>1.63</v>
      </c>
      <c r="BJ6" s="177">
        <v>0.30309999999999998</v>
      </c>
      <c r="BL6" t="s">
        <v>247</v>
      </c>
    </row>
    <row r="7" spans="1:73">
      <c r="A7" s="177">
        <v>1</v>
      </c>
      <c r="B7" s="177" t="s">
        <v>34</v>
      </c>
      <c r="C7" s="177">
        <v>201217917</v>
      </c>
      <c r="D7" s="177" t="s">
        <v>32</v>
      </c>
      <c r="E7" s="177">
        <v>5250</v>
      </c>
      <c r="F7" s="177">
        <v>3210</v>
      </c>
      <c r="G7" s="177">
        <v>4260</v>
      </c>
      <c r="H7" s="177">
        <v>1210</v>
      </c>
      <c r="I7" s="177">
        <v>150</v>
      </c>
      <c r="J7" s="177">
        <v>301</v>
      </c>
      <c r="K7" s="177">
        <v>2210</v>
      </c>
      <c r="L7" s="177">
        <v>201</v>
      </c>
      <c r="M7" s="177">
        <v>101</v>
      </c>
      <c r="N7" s="177">
        <v>452</v>
      </c>
      <c r="O7" s="177">
        <v>3410</v>
      </c>
      <c r="P7" s="177"/>
      <c r="Q7" s="177">
        <v>0.12</v>
      </c>
      <c r="R7" s="177">
        <v>0.11</v>
      </c>
      <c r="S7" s="177">
        <v>0.19</v>
      </c>
      <c r="T7" s="177">
        <v>0.03</v>
      </c>
      <c r="U7" s="177">
        <v>0.01</v>
      </c>
      <c r="V7" s="177">
        <v>0.01</v>
      </c>
      <c r="W7" s="177">
        <v>0.05</v>
      </c>
      <c r="X7" s="177">
        <v>0</v>
      </c>
      <c r="Y7" s="177">
        <v>0</v>
      </c>
      <c r="Z7" s="177">
        <v>0.01</v>
      </c>
      <c r="AA7" s="177">
        <v>0.06</v>
      </c>
      <c r="AB7" s="177"/>
      <c r="AC7" s="177">
        <v>0.64963499999999996</v>
      </c>
      <c r="AD7" s="177">
        <v>143.104964</v>
      </c>
      <c r="AE7" s="177">
        <v>528.8581999999999</v>
      </c>
      <c r="AF7" s="177">
        <v>409.19</v>
      </c>
      <c r="AG7" s="177">
        <v>245</v>
      </c>
      <c r="AH7" s="177">
        <v>65.857470000000006</v>
      </c>
      <c r="AI7" s="177">
        <v>8.1696600000000004</v>
      </c>
      <c r="AJ7" s="177">
        <v>2.2204199999999998</v>
      </c>
      <c r="AK7" s="177">
        <v>7.6600299999999999</v>
      </c>
      <c r="AL7" s="177"/>
      <c r="AM7" s="177">
        <v>0.24149999999999999</v>
      </c>
      <c r="AN7" s="177">
        <v>24.01</v>
      </c>
      <c r="AO7" s="177">
        <v>40.681399999999996</v>
      </c>
      <c r="AP7" s="177">
        <v>38.97</v>
      </c>
      <c r="AQ7" s="177">
        <v>19</v>
      </c>
      <c r="AR7" s="177">
        <v>3.0918999999999999</v>
      </c>
      <c r="AS7" s="177">
        <v>0.66420000000000001</v>
      </c>
      <c r="AT7" s="177">
        <v>0.16089999999999999</v>
      </c>
      <c r="AU7" s="177">
        <v>0.4879</v>
      </c>
      <c r="AV7" s="177"/>
      <c r="AW7" s="177"/>
      <c r="AX7" s="177">
        <v>6460</v>
      </c>
      <c r="AY7" s="177">
        <v>1920000</v>
      </c>
      <c r="AZ7" s="177">
        <v>330000</v>
      </c>
      <c r="BA7" s="177"/>
      <c r="BB7" s="177">
        <v>0.04</v>
      </c>
      <c r="BC7" s="177">
        <v>3.91</v>
      </c>
      <c r="BD7" s="177">
        <v>2.88</v>
      </c>
      <c r="BE7" s="177">
        <v>74.351910000000004</v>
      </c>
      <c r="BF7" s="177">
        <v>20.405519999999999</v>
      </c>
      <c r="BG7" s="177">
        <v>11.50299</v>
      </c>
      <c r="BH7" s="177">
        <v>3.4906999999999999</v>
      </c>
      <c r="BI7" s="177">
        <v>0.72360000000000002</v>
      </c>
      <c r="BJ7" s="177">
        <v>0.55569999999999997</v>
      </c>
    </row>
    <row r="8" spans="1:73">
      <c r="A8" s="177">
        <v>2</v>
      </c>
      <c r="B8" s="177" t="s">
        <v>270</v>
      </c>
      <c r="C8" s="177">
        <v>201191814</v>
      </c>
      <c r="D8" s="177" t="s">
        <v>9</v>
      </c>
      <c r="E8" s="177">
        <v>1610</v>
      </c>
      <c r="F8" s="177">
        <v>579</v>
      </c>
      <c r="G8" s="177">
        <v>301</v>
      </c>
      <c r="H8" s="177">
        <v>50.3</v>
      </c>
      <c r="I8" s="177">
        <v>100</v>
      </c>
      <c r="J8" s="177">
        <v>0</v>
      </c>
      <c r="K8" s="177">
        <v>0</v>
      </c>
      <c r="L8" s="177">
        <v>50.2</v>
      </c>
      <c r="M8" s="177">
        <v>0</v>
      </c>
      <c r="N8" s="177">
        <v>151</v>
      </c>
      <c r="O8" s="177">
        <v>0</v>
      </c>
      <c r="P8" s="177"/>
      <c r="Q8" s="177">
        <v>0.05</v>
      </c>
      <c r="R8" s="177">
        <v>0.09</v>
      </c>
      <c r="S8" s="177">
        <v>0.06</v>
      </c>
      <c r="T8" s="177">
        <v>0.01</v>
      </c>
      <c r="U8" s="177">
        <v>0</v>
      </c>
      <c r="V8" s="177">
        <v>0</v>
      </c>
      <c r="W8" s="177">
        <v>0</v>
      </c>
      <c r="X8" s="177">
        <v>0</v>
      </c>
      <c r="Y8" s="177">
        <v>0</v>
      </c>
      <c r="Z8" s="177">
        <v>0.01</v>
      </c>
      <c r="AA8" s="177">
        <v>0</v>
      </c>
      <c r="AB8" s="177"/>
      <c r="AC8" s="177">
        <v>4.3</v>
      </c>
      <c r="AD8" s="177">
        <v>2.1625574999999997</v>
      </c>
      <c r="AE8" s="177">
        <v>1539.8966499999999</v>
      </c>
      <c r="AF8" s="177">
        <v>387.21719899999994</v>
      </c>
      <c r="AG8" s="177">
        <v>271.27000799999996</v>
      </c>
      <c r="AH8" s="177">
        <v>202.22927100000001</v>
      </c>
      <c r="AI8" s="177">
        <v>74.623967999999991</v>
      </c>
      <c r="AJ8" s="177">
        <v>44.906399999999998</v>
      </c>
      <c r="AK8" s="177">
        <v>19.867589999999996</v>
      </c>
      <c r="AL8" s="177"/>
      <c r="AM8" s="177">
        <v>2.9</v>
      </c>
      <c r="AN8" s="177">
        <v>3.8965000000000001</v>
      </c>
      <c r="AO8" s="177">
        <v>71.623099999999994</v>
      </c>
      <c r="AP8" s="177">
        <v>67.108699999999999</v>
      </c>
      <c r="AQ8" s="177">
        <v>35.787599999999998</v>
      </c>
      <c r="AR8" s="177">
        <v>25.2471</v>
      </c>
      <c r="AS8" s="177">
        <v>12.605399999999999</v>
      </c>
      <c r="AT8" s="177">
        <v>6.93</v>
      </c>
      <c r="AU8" s="177">
        <v>2.1362999999999999</v>
      </c>
      <c r="AV8" s="177"/>
      <c r="AW8" s="177"/>
      <c r="AX8" s="177"/>
      <c r="AY8" s="177">
        <v>5610</v>
      </c>
      <c r="AZ8" s="177">
        <v>301</v>
      </c>
      <c r="BA8" s="177"/>
      <c r="BB8" s="177"/>
      <c r="BC8" s="177">
        <v>7.0000000000000007E-2</v>
      </c>
      <c r="BD8" s="177">
        <v>0.01</v>
      </c>
      <c r="BE8" s="177"/>
      <c r="BF8" s="177">
        <v>115.0224</v>
      </c>
      <c r="BG8" s="177">
        <v>0</v>
      </c>
      <c r="BH8" s="177"/>
      <c r="BI8" s="177">
        <v>7.4207999999999998</v>
      </c>
      <c r="BJ8" s="177">
        <v>2.0735000000000001</v>
      </c>
    </row>
    <row r="9" spans="1:73">
      <c r="A9" s="177">
        <v>3</v>
      </c>
      <c r="B9" s="177" t="s">
        <v>37</v>
      </c>
      <c r="C9" s="177">
        <v>201246602</v>
      </c>
      <c r="D9" s="177" t="s">
        <v>32</v>
      </c>
      <c r="E9" s="177">
        <v>3010</v>
      </c>
      <c r="F9" s="177">
        <v>6510</v>
      </c>
      <c r="G9" s="177">
        <v>2000</v>
      </c>
      <c r="H9" s="177">
        <v>451</v>
      </c>
      <c r="I9" s="177">
        <v>100</v>
      </c>
      <c r="J9" s="177">
        <v>50.2</v>
      </c>
      <c r="K9" s="177">
        <v>50.3</v>
      </c>
      <c r="L9" s="177">
        <v>50.1</v>
      </c>
      <c r="M9" s="177">
        <v>0</v>
      </c>
      <c r="N9" s="177">
        <v>4320</v>
      </c>
      <c r="O9" s="177">
        <v>0</v>
      </c>
      <c r="P9" s="177"/>
      <c r="Q9" s="177">
        <v>0.11</v>
      </c>
      <c r="R9" s="177">
        <v>0.34</v>
      </c>
      <c r="S9" s="177">
        <v>0.06</v>
      </c>
      <c r="T9" s="177">
        <v>0.02</v>
      </c>
      <c r="U9" s="177">
        <v>0.01</v>
      </c>
      <c r="V9" s="177">
        <v>0.01</v>
      </c>
      <c r="W9" s="177">
        <v>0</v>
      </c>
      <c r="X9" s="177">
        <v>0</v>
      </c>
      <c r="Y9" s="177">
        <v>0</v>
      </c>
      <c r="Z9" s="177">
        <v>0.01</v>
      </c>
      <c r="AA9" s="177">
        <v>0</v>
      </c>
      <c r="AB9" s="177"/>
      <c r="AC9" s="177">
        <v>3.460248</v>
      </c>
      <c r="AD9" s="177">
        <v>14.082828000000001</v>
      </c>
      <c r="AE9" s="177">
        <v>331.86599999999999</v>
      </c>
      <c r="AF9" s="177">
        <v>16.1525</v>
      </c>
      <c r="AG9" s="177">
        <v>11.67</v>
      </c>
      <c r="AH9" s="177">
        <v>4.4146960000000002</v>
      </c>
      <c r="AI9" s="177">
        <v>2.7942300000000002</v>
      </c>
      <c r="AJ9" s="177">
        <v>3.1502699999999999</v>
      </c>
      <c r="AK9" s="177">
        <v>2.1814330000000002</v>
      </c>
      <c r="AL9" s="177"/>
      <c r="AM9" s="177">
        <v>0.87380000000000002</v>
      </c>
      <c r="AN9" s="177">
        <v>5.9672999999999998</v>
      </c>
      <c r="AO9" s="177">
        <v>35.799999999999997</v>
      </c>
      <c r="AP9" s="177">
        <v>6.46</v>
      </c>
      <c r="AQ9" s="177">
        <v>2.75</v>
      </c>
      <c r="AR9" s="177">
        <v>0.77180000000000004</v>
      </c>
      <c r="AS9" s="177">
        <v>0.35370000000000001</v>
      </c>
      <c r="AT9" s="177">
        <v>0.1207</v>
      </c>
      <c r="AU9" s="177">
        <v>0.41710000000000003</v>
      </c>
      <c r="AV9" s="177"/>
      <c r="AW9" s="177">
        <v>125000</v>
      </c>
      <c r="AX9" s="177">
        <v>301</v>
      </c>
      <c r="AY9" s="177">
        <v>36100</v>
      </c>
      <c r="AZ9" s="177">
        <v>501</v>
      </c>
      <c r="BA9" s="177">
        <v>4.0999999999999996</v>
      </c>
      <c r="BB9" s="177">
        <v>0.01</v>
      </c>
      <c r="BC9" s="177">
        <v>0.02</v>
      </c>
      <c r="BD9" s="177">
        <v>0.02</v>
      </c>
      <c r="BE9" s="177">
        <v>6.0814440000000003</v>
      </c>
      <c r="BF9" s="177">
        <v>24.545999999999999</v>
      </c>
      <c r="BG9" s="177">
        <v>2.0299999999999998</v>
      </c>
      <c r="BH9" s="177">
        <v>0.8891</v>
      </c>
      <c r="BI9" s="177">
        <v>0.81820000000000004</v>
      </c>
      <c r="BJ9" s="177">
        <v>0.36</v>
      </c>
    </row>
    <row r="10" spans="1:73">
      <c r="A10" s="177">
        <v>4</v>
      </c>
      <c r="B10" s="177" t="s">
        <v>271</v>
      </c>
      <c r="C10" s="177">
        <v>201245939</v>
      </c>
      <c r="D10" s="177" t="s">
        <v>32</v>
      </c>
      <c r="E10" s="177">
        <v>205000</v>
      </c>
      <c r="F10" s="177">
        <v>43900</v>
      </c>
      <c r="G10" s="177">
        <v>220000</v>
      </c>
      <c r="H10" s="177">
        <v>109000</v>
      </c>
      <c r="I10" s="177">
        <v>184000</v>
      </c>
      <c r="J10" s="177"/>
      <c r="K10" s="177"/>
      <c r="L10" s="177"/>
      <c r="M10" s="177"/>
      <c r="N10" s="177"/>
      <c r="O10" s="177"/>
      <c r="P10" s="177"/>
      <c r="Q10" s="177">
        <v>7.9</v>
      </c>
      <c r="R10" s="177">
        <v>3.73</v>
      </c>
      <c r="S10" s="177">
        <v>26.67</v>
      </c>
      <c r="T10" s="177">
        <v>9.68</v>
      </c>
      <c r="U10" s="177">
        <v>17.829999999999998</v>
      </c>
      <c r="V10" s="177"/>
      <c r="W10" s="177"/>
      <c r="X10" s="177"/>
      <c r="Y10" s="177"/>
      <c r="Z10" s="177"/>
      <c r="AA10" s="177"/>
      <c r="AB10" s="177"/>
      <c r="AC10" s="177">
        <v>2.4646499999999998</v>
      </c>
      <c r="AD10" s="177">
        <v>0.50790999999999997</v>
      </c>
      <c r="AE10" s="177">
        <v>3.7787100000000002</v>
      </c>
      <c r="AF10" s="177"/>
      <c r="AG10" s="177"/>
      <c r="AH10" s="177"/>
      <c r="AI10" s="177"/>
      <c r="AJ10" s="177"/>
      <c r="AK10" s="177"/>
      <c r="AL10" s="177"/>
      <c r="AM10" s="177">
        <v>1.0953999999999999</v>
      </c>
      <c r="AN10" s="177">
        <v>0.39069999999999999</v>
      </c>
      <c r="AO10" s="177">
        <v>2.9066999999999998</v>
      </c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L10" t="str">
        <f>_xlfn.TEXTJOIN(", ",TRUE,BL5:BU5)</f>
        <v>Day 3/4, Day 7+/-1, Day 10+/-1, Day 14+/-2, Day 21+/-2, Day 30+/-2, Day 60+/-2, Day 90+/-14, Day 180+/-14, Last visit</v>
      </c>
    </row>
    <row r="11" spans="1:73">
      <c r="A11" s="177">
        <v>5</v>
      </c>
      <c r="B11" s="177" t="s">
        <v>11</v>
      </c>
      <c r="C11" s="177">
        <v>201264034</v>
      </c>
      <c r="D11" s="177" t="s">
        <v>9</v>
      </c>
      <c r="E11" s="177">
        <v>57000</v>
      </c>
      <c r="F11" s="177">
        <v>22300</v>
      </c>
      <c r="G11" s="177">
        <v>12600</v>
      </c>
      <c r="H11" s="177">
        <v>50.1</v>
      </c>
      <c r="I11" s="177">
        <v>0</v>
      </c>
      <c r="J11" s="177">
        <v>0</v>
      </c>
      <c r="K11" s="177">
        <v>351</v>
      </c>
      <c r="L11" s="177">
        <v>652</v>
      </c>
      <c r="M11" s="177">
        <v>50.1</v>
      </c>
      <c r="N11" s="177">
        <v>150</v>
      </c>
      <c r="O11" s="177">
        <v>100</v>
      </c>
      <c r="P11" s="177"/>
      <c r="Q11" s="177">
        <v>0.63</v>
      </c>
      <c r="R11" s="177">
        <v>1.38</v>
      </c>
      <c r="S11" s="177">
        <v>3.17</v>
      </c>
      <c r="T11" s="177">
        <v>0</v>
      </c>
      <c r="U11" s="177">
        <v>0</v>
      </c>
      <c r="V11" s="177">
        <v>0</v>
      </c>
      <c r="W11" s="177">
        <v>0.01</v>
      </c>
      <c r="X11" s="177">
        <v>0.01</v>
      </c>
      <c r="Y11" s="177">
        <v>0</v>
      </c>
      <c r="Z11" s="177">
        <v>0</v>
      </c>
      <c r="AA11" s="177">
        <v>0.01</v>
      </c>
      <c r="AB11" s="177"/>
      <c r="AC11" s="177">
        <v>0.44560500000000003</v>
      </c>
      <c r="AD11" s="177">
        <v>3617.9875200000001</v>
      </c>
      <c r="AE11" s="177">
        <v>6529.32</v>
      </c>
      <c r="AF11" s="177">
        <v>1992.81</v>
      </c>
      <c r="AG11" s="177">
        <v>734.51637000000005</v>
      </c>
      <c r="AH11" s="177">
        <v>273.96515000000005</v>
      </c>
      <c r="AI11" s="177">
        <v>5.9155919999999993</v>
      </c>
      <c r="AJ11" s="177">
        <v>7.6933800000000003</v>
      </c>
      <c r="AK11" s="177">
        <v>0.25180999999999998</v>
      </c>
      <c r="AL11" s="177"/>
      <c r="AM11" s="177">
        <v>0.24349999999999999</v>
      </c>
      <c r="AN11" s="177">
        <v>92.295599999999993</v>
      </c>
      <c r="AO11" s="177">
        <v>91.06</v>
      </c>
      <c r="AP11" s="177">
        <v>71.94</v>
      </c>
      <c r="AQ11" s="177">
        <v>41.498100000000001</v>
      </c>
      <c r="AR11" s="177">
        <v>6.3564999999999996</v>
      </c>
      <c r="AS11" s="177">
        <v>5.7995999999999999</v>
      </c>
      <c r="AT11" s="177">
        <v>0.47489999999999999</v>
      </c>
      <c r="AU11" s="177">
        <v>7.0000000000000007E-2</v>
      </c>
      <c r="AV11" s="177"/>
      <c r="AW11" s="177">
        <v>56100</v>
      </c>
      <c r="AX11" s="177"/>
      <c r="AY11" s="177">
        <v>1800</v>
      </c>
      <c r="AZ11" s="177"/>
      <c r="BA11" s="177">
        <v>0.67</v>
      </c>
      <c r="BB11" s="177"/>
      <c r="BC11" s="177">
        <v>0.03</v>
      </c>
      <c r="BD11" s="177"/>
      <c r="BE11" s="177"/>
      <c r="BF11" s="177">
        <v>11.22</v>
      </c>
      <c r="BG11" s="177"/>
      <c r="BH11" s="177"/>
      <c r="BI11" s="177">
        <v>0.61</v>
      </c>
      <c r="BJ11" s="177"/>
    </row>
    <row r="12" spans="1:73">
      <c r="A12" s="177">
        <v>6</v>
      </c>
      <c r="B12" s="177" t="s">
        <v>39</v>
      </c>
      <c r="C12" s="177">
        <v>201269561</v>
      </c>
      <c r="D12" s="177" t="s">
        <v>32</v>
      </c>
      <c r="E12" s="177">
        <v>332000</v>
      </c>
      <c r="F12" s="177">
        <v>16700</v>
      </c>
      <c r="G12" s="177">
        <v>23200</v>
      </c>
      <c r="H12" s="177">
        <v>50.2</v>
      </c>
      <c r="I12" s="177">
        <v>150</v>
      </c>
      <c r="J12" s="177">
        <v>150</v>
      </c>
      <c r="K12" s="177">
        <v>0</v>
      </c>
      <c r="L12" s="177">
        <v>100</v>
      </c>
      <c r="M12" s="177">
        <v>402</v>
      </c>
      <c r="N12" s="177">
        <v>201</v>
      </c>
      <c r="O12" s="177">
        <v>142000</v>
      </c>
      <c r="P12" s="177"/>
      <c r="Q12" s="177">
        <v>5.43</v>
      </c>
      <c r="R12" s="177">
        <v>1.08</v>
      </c>
      <c r="S12" s="177">
        <v>1.23</v>
      </c>
      <c r="T12" s="177">
        <v>0.01</v>
      </c>
      <c r="U12" s="177">
        <v>0.01</v>
      </c>
      <c r="V12" s="177">
        <v>0.01</v>
      </c>
      <c r="W12" s="177">
        <v>0</v>
      </c>
      <c r="X12" s="177">
        <v>0</v>
      </c>
      <c r="Y12" s="177">
        <v>0.02</v>
      </c>
      <c r="Z12" s="177">
        <v>0.01</v>
      </c>
      <c r="AA12" s="177">
        <v>2.2000000000000002</v>
      </c>
      <c r="AB12" s="177"/>
      <c r="AC12" s="177">
        <v>1.7812959999999998</v>
      </c>
      <c r="AD12" s="177">
        <v>20.351474000000003</v>
      </c>
      <c r="AE12" s="177">
        <v>839.64440999999999</v>
      </c>
      <c r="AF12" s="177">
        <v>989.40404999999998</v>
      </c>
      <c r="AG12" s="177">
        <v>428.93971000000005</v>
      </c>
      <c r="AH12" s="177">
        <v>77.917559999999995</v>
      </c>
      <c r="AI12" s="177">
        <v>9.1776799999999987</v>
      </c>
      <c r="AJ12" s="177">
        <v>9.0997199999999996</v>
      </c>
      <c r="AK12" s="177">
        <v>3.7927499999999998</v>
      </c>
      <c r="AL12" s="177"/>
      <c r="AM12" s="177">
        <v>0.51039999999999996</v>
      </c>
      <c r="AN12" s="177">
        <v>16.819400000000002</v>
      </c>
      <c r="AO12" s="177">
        <v>69.392099999999999</v>
      </c>
      <c r="AP12" s="177">
        <v>70.170500000000004</v>
      </c>
      <c r="AQ12" s="177">
        <v>28.7879</v>
      </c>
      <c r="AR12" s="177">
        <v>5.6462000000000003</v>
      </c>
      <c r="AS12" s="177">
        <v>1.0311999999999999</v>
      </c>
      <c r="AT12" s="177">
        <v>0.72219999999999995</v>
      </c>
      <c r="AU12" s="177">
        <v>0.19450000000000001</v>
      </c>
      <c r="AV12" s="177"/>
      <c r="AW12" s="177"/>
      <c r="AX12" s="177">
        <v>7220</v>
      </c>
      <c r="AY12" s="177">
        <v>2260</v>
      </c>
      <c r="AZ12" s="177">
        <v>8200000</v>
      </c>
      <c r="BA12" s="177"/>
      <c r="BB12" s="177">
        <v>0.03</v>
      </c>
      <c r="BC12" s="177">
        <v>0.02</v>
      </c>
      <c r="BD12" s="177">
        <v>21.5</v>
      </c>
      <c r="BE12" s="177">
        <v>163.40940000000001</v>
      </c>
      <c r="BF12" s="177">
        <v>20.163720000000001</v>
      </c>
      <c r="BG12" s="177">
        <v>7.0428199999999999</v>
      </c>
      <c r="BH12" s="177">
        <v>8.2530000000000001</v>
      </c>
      <c r="BI12" s="177">
        <v>0.89219999999999999</v>
      </c>
      <c r="BJ12" s="177">
        <v>0.20180000000000001</v>
      </c>
    </row>
    <row r="13" spans="1:73">
      <c r="A13" s="177">
        <v>7</v>
      </c>
      <c r="B13" s="177" t="s">
        <v>42</v>
      </c>
      <c r="C13" s="177">
        <v>201273725</v>
      </c>
      <c r="D13" s="177" t="s">
        <v>32</v>
      </c>
      <c r="E13" s="177">
        <v>778000</v>
      </c>
      <c r="F13" s="177">
        <v>13500</v>
      </c>
      <c r="G13" s="177">
        <v>3460</v>
      </c>
      <c r="H13" s="177">
        <v>100</v>
      </c>
      <c r="I13" s="177">
        <v>0</v>
      </c>
      <c r="J13" s="177">
        <v>0</v>
      </c>
      <c r="K13" s="177">
        <v>301</v>
      </c>
      <c r="L13" s="177">
        <v>200</v>
      </c>
      <c r="M13" s="177">
        <v>1310</v>
      </c>
      <c r="N13" s="177">
        <v>4260</v>
      </c>
      <c r="O13" s="177"/>
      <c r="P13" s="177"/>
      <c r="Q13" s="177">
        <v>14.3</v>
      </c>
      <c r="R13" s="177">
        <v>1.88</v>
      </c>
      <c r="S13" s="177">
        <v>0.71</v>
      </c>
      <c r="T13" s="177">
        <v>0.01</v>
      </c>
      <c r="U13" s="177">
        <v>0</v>
      </c>
      <c r="V13" s="177">
        <v>0</v>
      </c>
      <c r="W13" s="177">
        <v>0.04</v>
      </c>
      <c r="X13" s="177">
        <v>0.02</v>
      </c>
      <c r="Y13" s="177">
        <v>0.05</v>
      </c>
      <c r="Z13" s="177">
        <v>7.0000000000000007E-2</v>
      </c>
      <c r="AA13" s="177"/>
      <c r="AB13" s="177"/>
      <c r="AC13" s="177">
        <v>0.16080060000000002</v>
      </c>
      <c r="AD13" s="177">
        <v>1078.9313500000001</v>
      </c>
      <c r="AE13" s="177">
        <v>1125.9362399999998</v>
      </c>
      <c r="AF13" s="177">
        <v>243.25629000000001</v>
      </c>
      <c r="AG13" s="177">
        <v>133.47018800000001</v>
      </c>
      <c r="AH13" s="177">
        <v>26.199745</v>
      </c>
      <c r="AI13" s="177">
        <v>27.971580000000003</v>
      </c>
      <c r="AJ13" s="177">
        <v>10.579181999999999</v>
      </c>
      <c r="AK13" s="177"/>
      <c r="AL13" s="177"/>
      <c r="AM13" s="177">
        <v>0.56820000000000004</v>
      </c>
      <c r="AN13" s="177">
        <v>72.411500000000004</v>
      </c>
      <c r="AO13" s="177">
        <v>85.298199999999994</v>
      </c>
      <c r="AP13" s="177">
        <v>76.736999999999995</v>
      </c>
      <c r="AQ13" s="177">
        <v>24.400400000000001</v>
      </c>
      <c r="AR13" s="177">
        <v>3.6642999999999999</v>
      </c>
      <c r="AS13" s="177">
        <v>5.1323999999999996</v>
      </c>
      <c r="AT13" s="177">
        <v>1.3190999999999999</v>
      </c>
      <c r="AU13" s="177"/>
      <c r="AV13" s="177"/>
      <c r="AW13" s="177">
        <v>1870000</v>
      </c>
      <c r="AX13" s="177">
        <v>150</v>
      </c>
      <c r="AY13" s="177">
        <v>5420</v>
      </c>
      <c r="AZ13" s="177"/>
      <c r="BA13" s="177">
        <v>21.22</v>
      </c>
      <c r="BB13" s="177">
        <v>0.01</v>
      </c>
      <c r="BC13" s="177">
        <v>0.05</v>
      </c>
      <c r="BD13" s="177"/>
      <c r="BE13" s="177">
        <v>54.359439999999999</v>
      </c>
      <c r="BF13" s="177">
        <v>29.331309999999998</v>
      </c>
      <c r="BG13" s="177"/>
      <c r="BH13" s="177">
        <v>3.3146</v>
      </c>
      <c r="BI13" s="177">
        <v>2.8477000000000001</v>
      </c>
      <c r="BJ13" s="177"/>
    </row>
    <row r="14" spans="1:73">
      <c r="A14" s="177">
        <v>8</v>
      </c>
      <c r="B14" s="177" t="s">
        <v>14</v>
      </c>
      <c r="C14" s="177">
        <v>201285157</v>
      </c>
      <c r="D14" s="177" t="s">
        <v>9</v>
      </c>
      <c r="E14" s="177">
        <v>1610</v>
      </c>
      <c r="F14" s="177">
        <v>150</v>
      </c>
      <c r="G14" s="177">
        <v>301</v>
      </c>
      <c r="H14" s="177">
        <v>1300</v>
      </c>
      <c r="I14" s="177">
        <v>200</v>
      </c>
      <c r="J14" s="177">
        <v>251</v>
      </c>
      <c r="K14" s="177">
        <v>114</v>
      </c>
      <c r="L14" s="177">
        <v>702</v>
      </c>
      <c r="M14" s="177">
        <v>351</v>
      </c>
      <c r="N14" s="177">
        <v>402</v>
      </c>
      <c r="O14" s="177">
        <v>201</v>
      </c>
      <c r="P14" s="177"/>
      <c r="Q14" s="177">
        <v>0.03</v>
      </c>
      <c r="R14" s="177">
        <v>0.01</v>
      </c>
      <c r="S14" s="177">
        <v>0.02</v>
      </c>
      <c r="T14" s="177">
        <v>0.08</v>
      </c>
      <c r="U14" s="177">
        <v>0.01</v>
      </c>
      <c r="V14" s="177">
        <v>0.01</v>
      </c>
      <c r="W14" s="177">
        <v>0</v>
      </c>
      <c r="X14" s="177">
        <v>0.01</v>
      </c>
      <c r="Y14" s="177">
        <v>0.01</v>
      </c>
      <c r="Z14" s="177">
        <v>0.01</v>
      </c>
      <c r="AA14" s="177">
        <v>0.01</v>
      </c>
      <c r="AB14" s="177"/>
      <c r="AC14" s="177">
        <v>0.38423100000000004</v>
      </c>
      <c r="AD14" s="177">
        <v>74.814210000000003</v>
      </c>
      <c r="AE14" s="177">
        <v>225.43644</v>
      </c>
      <c r="AF14" s="177">
        <v>260.221248</v>
      </c>
      <c r="AG14" s="177">
        <v>192.54723999999999</v>
      </c>
      <c r="AH14" s="177">
        <v>98.852119999999999</v>
      </c>
      <c r="AI14" s="177">
        <v>8.3574199999999994</v>
      </c>
      <c r="AJ14" s="177">
        <v>7.5278700000000001</v>
      </c>
      <c r="AK14" s="177">
        <v>4.3523199999999997</v>
      </c>
      <c r="AL14" s="177"/>
      <c r="AM14" s="177">
        <v>0.18210000000000001</v>
      </c>
      <c r="AN14" s="177">
        <v>13.125299999999999</v>
      </c>
      <c r="AO14" s="177">
        <v>31.976800000000001</v>
      </c>
      <c r="AP14" s="177">
        <v>34.4208</v>
      </c>
      <c r="AQ14" s="177">
        <v>16.5989</v>
      </c>
      <c r="AR14" s="177">
        <v>3.6747999999999998</v>
      </c>
      <c r="AS14" s="177">
        <v>0.40570000000000001</v>
      </c>
      <c r="AT14" s="177">
        <v>0.85350000000000004</v>
      </c>
      <c r="AU14" s="177">
        <v>0.46899999999999997</v>
      </c>
      <c r="AV14" s="177"/>
      <c r="AW14" s="177"/>
      <c r="AX14" s="177"/>
      <c r="AY14" s="177">
        <v>4820</v>
      </c>
      <c r="AZ14" s="177">
        <v>2210</v>
      </c>
      <c r="BA14" s="177"/>
      <c r="BB14" s="177"/>
      <c r="BC14" s="177">
        <v>0.04</v>
      </c>
      <c r="BD14" s="177">
        <v>0.02</v>
      </c>
      <c r="BE14" s="177"/>
      <c r="BF14" s="177">
        <v>16.8504</v>
      </c>
      <c r="BG14" s="177">
        <v>7.2850299999999999</v>
      </c>
      <c r="BH14" s="177"/>
      <c r="BI14" s="177">
        <v>0.95199999999999996</v>
      </c>
      <c r="BJ14" s="177">
        <v>0.42109999999999997</v>
      </c>
    </row>
    <row r="15" spans="1:73">
      <c r="A15" s="177">
        <v>9</v>
      </c>
      <c r="B15" s="177" t="s">
        <v>45</v>
      </c>
      <c r="C15" s="177">
        <v>201326301</v>
      </c>
      <c r="D15" s="177" t="s">
        <v>32</v>
      </c>
      <c r="E15" s="177">
        <v>301</v>
      </c>
      <c r="F15" s="177">
        <v>301</v>
      </c>
      <c r="G15" s="177">
        <v>301</v>
      </c>
      <c r="H15" s="177">
        <v>200</v>
      </c>
      <c r="I15" s="177">
        <v>502</v>
      </c>
      <c r="J15" s="177">
        <v>703</v>
      </c>
      <c r="K15" s="177">
        <v>251</v>
      </c>
      <c r="L15" s="177">
        <v>100</v>
      </c>
      <c r="M15" s="177">
        <v>551</v>
      </c>
      <c r="N15" s="177">
        <v>401</v>
      </c>
      <c r="O15" s="177">
        <v>0</v>
      </c>
      <c r="P15" s="177"/>
      <c r="Q15" s="177">
        <v>0.01</v>
      </c>
      <c r="R15" s="177">
        <v>0.03</v>
      </c>
      <c r="S15" s="177">
        <v>0.02</v>
      </c>
      <c r="T15" s="177">
        <v>0.01</v>
      </c>
      <c r="U15" s="177">
        <v>0.03</v>
      </c>
      <c r="V15" s="177">
        <v>0.02</v>
      </c>
      <c r="W15" s="177">
        <v>0.01</v>
      </c>
      <c r="X15" s="177">
        <v>0</v>
      </c>
      <c r="Y15" s="177">
        <v>0.01</v>
      </c>
      <c r="Z15" s="177">
        <v>0.01</v>
      </c>
      <c r="AA15" s="177">
        <v>0</v>
      </c>
      <c r="AB15" s="177"/>
      <c r="AC15" s="177">
        <v>2.12</v>
      </c>
      <c r="AD15" s="177">
        <v>77.64</v>
      </c>
      <c r="AE15" s="177">
        <v>248.69470000000001</v>
      </c>
      <c r="AF15" s="177">
        <v>1680.634</v>
      </c>
      <c r="AG15" s="177">
        <v>1184.9943999999998</v>
      </c>
      <c r="AH15" s="177">
        <v>644.14104000000009</v>
      </c>
      <c r="AI15" s="177">
        <v>74.829126000000002</v>
      </c>
      <c r="AJ15" s="177">
        <v>29.40288</v>
      </c>
      <c r="AK15" s="177">
        <v>11.118948</v>
      </c>
      <c r="AL15" s="177"/>
      <c r="AM15" s="177">
        <v>0.77</v>
      </c>
      <c r="AN15" s="177">
        <v>25.46</v>
      </c>
      <c r="AO15" s="177">
        <v>58.516399999999997</v>
      </c>
      <c r="AP15" s="177">
        <v>84.031700000000001</v>
      </c>
      <c r="AQ15" s="177">
        <v>81.164000000000001</v>
      </c>
      <c r="AR15" s="177">
        <v>55.529400000000003</v>
      </c>
      <c r="AS15" s="177">
        <v>9.1</v>
      </c>
      <c r="AT15" s="177">
        <v>5.6543999999999999</v>
      </c>
      <c r="AU15" s="177">
        <v>1.5486</v>
      </c>
      <c r="AV15" s="177"/>
      <c r="AW15" s="177"/>
      <c r="AX15" s="177">
        <v>9420</v>
      </c>
      <c r="AY15" s="177">
        <v>200</v>
      </c>
      <c r="AZ15" s="177">
        <v>1000</v>
      </c>
      <c r="BA15" s="177"/>
      <c r="BB15" s="177">
        <v>0.08</v>
      </c>
      <c r="BC15" s="177">
        <v>0</v>
      </c>
      <c r="BD15" s="177">
        <v>0.01</v>
      </c>
      <c r="BE15" s="177">
        <v>647.69637999999998</v>
      </c>
      <c r="BF15" s="177">
        <v>33.880559999999996</v>
      </c>
      <c r="BG15" s="177">
        <v>12.393534000000001</v>
      </c>
      <c r="BH15" s="177">
        <v>42.893799999999999</v>
      </c>
      <c r="BI15" s="177">
        <v>5.7619999999999996</v>
      </c>
      <c r="BJ15" s="177">
        <v>1.4914000000000001</v>
      </c>
    </row>
    <row r="16" spans="1:73">
      <c r="A16" s="177">
        <v>10</v>
      </c>
      <c r="B16" s="177" t="s">
        <v>47</v>
      </c>
      <c r="C16" s="177">
        <v>201309405</v>
      </c>
      <c r="D16" s="177" t="s">
        <v>32</v>
      </c>
      <c r="E16" s="177">
        <v>44300</v>
      </c>
      <c r="F16" s="177">
        <v>8370</v>
      </c>
      <c r="G16" s="177">
        <v>10900</v>
      </c>
      <c r="H16" s="177">
        <v>603</v>
      </c>
      <c r="I16" s="177">
        <v>100</v>
      </c>
      <c r="J16" s="177">
        <v>201</v>
      </c>
      <c r="K16" s="177">
        <v>100</v>
      </c>
      <c r="L16" s="177">
        <v>904</v>
      </c>
      <c r="M16" s="177">
        <v>62100</v>
      </c>
      <c r="N16" s="177">
        <v>422000</v>
      </c>
      <c r="O16" s="177">
        <v>391000</v>
      </c>
      <c r="P16" s="177"/>
      <c r="Q16" s="177">
        <v>0.71</v>
      </c>
      <c r="R16" s="177">
        <v>0.32</v>
      </c>
      <c r="S16" s="177">
        <v>0.28000000000000003</v>
      </c>
      <c r="T16" s="177">
        <v>0.02</v>
      </c>
      <c r="U16" s="177">
        <v>0.01</v>
      </c>
      <c r="V16" s="177">
        <v>0.01</v>
      </c>
      <c r="W16" s="177">
        <v>0</v>
      </c>
      <c r="X16" s="177">
        <v>0.03</v>
      </c>
      <c r="Y16" s="177">
        <v>2.48</v>
      </c>
      <c r="Z16" s="177">
        <v>7.77</v>
      </c>
      <c r="AA16" s="177">
        <v>7.22</v>
      </c>
      <c r="AB16" s="177"/>
      <c r="AC16" s="177">
        <v>0.5025599999999999</v>
      </c>
      <c r="AD16" s="177">
        <v>12.152882</v>
      </c>
      <c r="AE16" s="177">
        <v>54.015422999999998</v>
      </c>
      <c r="AF16" s="177">
        <v>15.417820000000001</v>
      </c>
      <c r="AG16" s="177">
        <v>3.2514879999999997</v>
      </c>
      <c r="AH16" s="177">
        <v>1.526635</v>
      </c>
      <c r="AI16" s="177">
        <v>0.62038499999999985</v>
      </c>
      <c r="AJ16" s="177">
        <v>1.2190300000000001</v>
      </c>
      <c r="AK16" s="177">
        <v>2.0162</v>
      </c>
      <c r="AL16" s="177"/>
      <c r="AM16" s="177">
        <v>0.14399999999999999</v>
      </c>
      <c r="AN16" s="177">
        <v>2.6362000000000001</v>
      </c>
      <c r="AO16" s="177">
        <v>9.1707000000000001</v>
      </c>
      <c r="AP16" s="177">
        <v>3.0470000000000002</v>
      </c>
      <c r="AQ16" s="177">
        <v>0.44</v>
      </c>
      <c r="AR16" s="177">
        <v>0.22550000000000001</v>
      </c>
      <c r="AS16" s="177">
        <v>7.0000000000000007E-2</v>
      </c>
      <c r="AT16" s="177">
        <v>8.77E-2</v>
      </c>
      <c r="AU16" s="177">
        <v>0.1186</v>
      </c>
      <c r="AV16" s="177"/>
      <c r="AW16" s="177"/>
      <c r="AX16" s="177">
        <v>17500</v>
      </c>
      <c r="AY16" s="177">
        <v>1940000</v>
      </c>
      <c r="AZ16" s="177"/>
      <c r="BA16" s="177"/>
      <c r="BB16" s="177">
        <v>0.34</v>
      </c>
      <c r="BC16" s="177">
        <v>12.84</v>
      </c>
      <c r="BD16" s="177"/>
      <c r="BE16" s="177">
        <v>6.5942240000000005</v>
      </c>
      <c r="BF16" s="177">
        <v>2.097</v>
      </c>
      <c r="BG16" s="177"/>
      <c r="BH16" s="177">
        <v>0.90580000000000005</v>
      </c>
      <c r="BI16" s="177">
        <v>0.2097</v>
      </c>
      <c r="BJ16" s="177"/>
    </row>
    <row r="17" spans="1:62">
      <c r="A17" s="177">
        <v>11</v>
      </c>
      <c r="B17" s="177" t="s">
        <v>16</v>
      </c>
      <c r="C17" s="177">
        <v>201313119</v>
      </c>
      <c r="D17" s="177" t="s">
        <v>9</v>
      </c>
      <c r="E17" s="177">
        <v>804</v>
      </c>
      <c r="F17" s="177">
        <v>502</v>
      </c>
      <c r="G17" s="177">
        <v>1200</v>
      </c>
      <c r="H17" s="177">
        <v>251</v>
      </c>
      <c r="I17" s="177">
        <v>501</v>
      </c>
      <c r="J17" s="177">
        <v>802</v>
      </c>
      <c r="K17" s="177">
        <v>1000</v>
      </c>
      <c r="L17" s="177">
        <v>952</v>
      </c>
      <c r="M17" s="177">
        <v>301</v>
      </c>
      <c r="N17" s="177">
        <v>903</v>
      </c>
      <c r="O17" s="177">
        <v>0</v>
      </c>
      <c r="P17" s="177"/>
      <c r="Q17" s="177">
        <v>0.01</v>
      </c>
      <c r="R17" s="177">
        <v>0.01</v>
      </c>
      <c r="S17" s="177">
        <v>0.02</v>
      </c>
      <c r="T17" s="177">
        <v>0.01</v>
      </c>
      <c r="U17" s="177">
        <v>0.01</v>
      </c>
      <c r="V17" s="177">
        <v>0.01</v>
      </c>
      <c r="W17" s="177">
        <v>0.01</v>
      </c>
      <c r="X17" s="177">
        <v>0.01</v>
      </c>
      <c r="Y17" s="177">
        <v>0.01</v>
      </c>
      <c r="Z17" s="177">
        <v>0.02</v>
      </c>
      <c r="AA17" s="177">
        <v>0</v>
      </c>
      <c r="AB17" s="177"/>
      <c r="AC17" s="177">
        <v>1.10494</v>
      </c>
      <c r="AD17" s="177">
        <v>99.451440000000005</v>
      </c>
      <c r="AE17" s="177">
        <v>948.42330000000004</v>
      </c>
      <c r="AF17" s="177">
        <v>2194.33869</v>
      </c>
      <c r="AG17" s="177">
        <v>1218.02496</v>
      </c>
      <c r="AH17" s="177">
        <v>564.72987999999998</v>
      </c>
      <c r="AI17" s="177">
        <v>109.16712</v>
      </c>
      <c r="AJ17" s="177">
        <v>96.56</v>
      </c>
      <c r="AK17" s="177">
        <v>47.354999999999997</v>
      </c>
      <c r="AL17" s="177"/>
      <c r="AM17" s="177">
        <v>0.11</v>
      </c>
      <c r="AN17" s="177">
        <v>8.57</v>
      </c>
      <c r="AO17" s="177">
        <v>43.307000000000002</v>
      </c>
      <c r="AP17" s="177">
        <v>50.213700000000003</v>
      </c>
      <c r="AQ17" s="177">
        <v>47.58</v>
      </c>
      <c r="AR17" s="177">
        <v>19.75</v>
      </c>
      <c r="AS17" s="177">
        <v>8.8038000000000007</v>
      </c>
      <c r="AT17" s="177">
        <v>6.0350000000000001</v>
      </c>
      <c r="AU17" s="177">
        <v>2.0499999999999998</v>
      </c>
      <c r="AV17" s="177"/>
      <c r="AW17" s="177"/>
      <c r="AX17" s="177"/>
      <c r="AY17" s="177">
        <v>1550</v>
      </c>
      <c r="AZ17" s="177"/>
      <c r="BA17" s="177"/>
      <c r="BB17" s="177"/>
      <c r="BC17" s="177">
        <v>0.02</v>
      </c>
      <c r="BD17" s="177"/>
      <c r="BE17" s="177"/>
      <c r="BF17" s="177">
        <v>84.130600000000001</v>
      </c>
      <c r="BG17" s="177"/>
      <c r="BH17" s="177"/>
      <c r="BI17" s="177">
        <v>5.6844999999999999</v>
      </c>
      <c r="BJ17" s="177"/>
    </row>
    <row r="18" spans="1:62">
      <c r="A18" s="177">
        <v>12</v>
      </c>
      <c r="B18" s="177" t="s">
        <v>50</v>
      </c>
      <c r="C18" s="177">
        <v>201348734</v>
      </c>
      <c r="D18" s="177" t="s">
        <v>32</v>
      </c>
      <c r="E18" s="177">
        <v>2910</v>
      </c>
      <c r="F18" s="177">
        <v>603</v>
      </c>
      <c r="G18" s="177">
        <v>1380</v>
      </c>
      <c r="H18" s="177">
        <v>301</v>
      </c>
      <c r="I18" s="177">
        <v>50.1</v>
      </c>
      <c r="J18" s="177">
        <v>703</v>
      </c>
      <c r="K18" s="177">
        <v>200</v>
      </c>
      <c r="L18" s="177">
        <v>0</v>
      </c>
      <c r="M18" s="177">
        <v>0</v>
      </c>
      <c r="N18" s="177">
        <v>50.1</v>
      </c>
      <c r="O18" s="177"/>
      <c r="P18" s="177"/>
      <c r="Q18" s="177">
        <v>0.14000000000000001</v>
      </c>
      <c r="R18" s="177">
        <v>0.05</v>
      </c>
      <c r="S18" s="177">
        <v>0.67</v>
      </c>
      <c r="T18" s="177">
        <v>0.02</v>
      </c>
      <c r="U18" s="177">
        <v>0</v>
      </c>
      <c r="V18" s="177">
        <v>0.05</v>
      </c>
      <c r="W18" s="177">
        <v>0.03</v>
      </c>
      <c r="X18" s="177">
        <v>0</v>
      </c>
      <c r="Y18" s="177">
        <v>0</v>
      </c>
      <c r="Z18" s="177">
        <v>0</v>
      </c>
      <c r="AA18" s="177"/>
      <c r="AB18" s="177"/>
      <c r="AC18" s="177">
        <v>0.2642562</v>
      </c>
      <c r="AD18" s="177">
        <v>764.48580000000004</v>
      </c>
      <c r="AE18" s="177">
        <v>788.94152999999994</v>
      </c>
      <c r="AF18" s="177">
        <v>167.77134399999997</v>
      </c>
      <c r="AG18" s="177">
        <v>87.69</v>
      </c>
      <c r="AH18" s="177">
        <v>30.306974999999998</v>
      </c>
      <c r="AI18" s="177">
        <v>4.0674149999999996</v>
      </c>
      <c r="AJ18" s="177">
        <v>4.4416960000000003</v>
      </c>
      <c r="AK18" s="177"/>
      <c r="AL18" s="177"/>
      <c r="AM18" s="177">
        <v>1.28</v>
      </c>
      <c r="AN18" s="177">
        <v>49.01</v>
      </c>
      <c r="AO18" s="177">
        <v>55.95</v>
      </c>
      <c r="AP18" s="177">
        <v>43.919199999999996</v>
      </c>
      <c r="AQ18" s="177">
        <v>23.322099999999999</v>
      </c>
      <c r="AR18" s="177">
        <v>6.1725000000000003</v>
      </c>
      <c r="AS18" s="177">
        <v>0.98009999999999997</v>
      </c>
      <c r="AT18" s="177">
        <v>0.88480000000000003</v>
      </c>
      <c r="AU18" s="177"/>
      <c r="AV18" s="177"/>
      <c r="AW18" s="177"/>
      <c r="AX18" s="177">
        <v>802</v>
      </c>
      <c r="AY18" s="177">
        <v>100</v>
      </c>
      <c r="AZ18" s="177"/>
      <c r="BA18" s="177"/>
      <c r="BB18" s="177">
        <v>0.05</v>
      </c>
      <c r="BC18" s="177">
        <v>0.01</v>
      </c>
      <c r="BD18" s="177"/>
      <c r="BE18" s="177">
        <v>31.849276999999997</v>
      </c>
      <c r="BF18" s="177">
        <v>4.5755840000000001</v>
      </c>
      <c r="BG18" s="177"/>
      <c r="BH18" s="177">
        <v>3.8698999999999999</v>
      </c>
      <c r="BI18" s="177">
        <v>0.84109999999999996</v>
      </c>
      <c r="BJ18" s="177"/>
    </row>
    <row r="19" spans="1:62">
      <c r="A19" s="177">
        <v>13</v>
      </c>
      <c r="B19" s="177" t="s">
        <v>18</v>
      </c>
      <c r="C19" s="177">
        <v>201332220</v>
      </c>
      <c r="D19" s="177" t="s">
        <v>9</v>
      </c>
      <c r="E19" s="177">
        <v>1310</v>
      </c>
      <c r="F19" s="177">
        <v>100</v>
      </c>
      <c r="G19" s="177">
        <v>150</v>
      </c>
      <c r="H19" s="177">
        <v>50.1</v>
      </c>
      <c r="I19" s="177">
        <v>50.1</v>
      </c>
      <c r="J19" s="177">
        <v>100</v>
      </c>
      <c r="K19" s="177">
        <v>150</v>
      </c>
      <c r="L19" s="177">
        <v>804</v>
      </c>
      <c r="M19" s="177">
        <v>1350</v>
      </c>
      <c r="N19" s="177">
        <v>952</v>
      </c>
      <c r="O19" s="177">
        <v>1450</v>
      </c>
      <c r="P19" s="177">
        <v>401</v>
      </c>
      <c r="Q19" s="177">
        <v>0.03</v>
      </c>
      <c r="R19" s="177">
        <v>0.01</v>
      </c>
      <c r="S19" s="177">
        <v>0.03</v>
      </c>
      <c r="T19" s="177">
        <v>0.01</v>
      </c>
      <c r="U19" s="177">
        <v>0</v>
      </c>
      <c r="V19" s="177">
        <v>0</v>
      </c>
      <c r="W19" s="177">
        <v>0.01</v>
      </c>
      <c r="X19" s="177">
        <v>0.04</v>
      </c>
      <c r="Y19" s="177">
        <v>0.05</v>
      </c>
      <c r="Z19" s="177">
        <v>0.03</v>
      </c>
      <c r="AA19" s="177">
        <v>0.04</v>
      </c>
      <c r="AB19" s="177">
        <v>0.01</v>
      </c>
      <c r="AC19" s="177">
        <v>0.62047960000000002</v>
      </c>
      <c r="AD19" s="177">
        <v>29.035552000000003</v>
      </c>
      <c r="AE19" s="177">
        <v>76.827547999999993</v>
      </c>
      <c r="AF19" s="177">
        <v>142.49995000000001</v>
      </c>
      <c r="AG19" s="177">
        <v>21.248793999999997</v>
      </c>
      <c r="AH19" s="177">
        <v>3.6532160000000005</v>
      </c>
      <c r="AI19" s="177">
        <v>3.3681900000000002</v>
      </c>
      <c r="AJ19" s="177">
        <v>1.8409200000000003</v>
      </c>
      <c r="AK19" s="177">
        <v>3.4496799999999999</v>
      </c>
      <c r="AL19" s="177">
        <v>2.59</v>
      </c>
      <c r="AM19" s="177">
        <v>0.70189999999999997</v>
      </c>
      <c r="AN19" s="177">
        <v>15.9536</v>
      </c>
      <c r="AO19" s="177">
        <v>17.9924</v>
      </c>
      <c r="AP19" s="177">
        <v>18.2225</v>
      </c>
      <c r="AQ19" s="177">
        <v>2.8294000000000001</v>
      </c>
      <c r="AR19" s="177">
        <v>0.55520000000000003</v>
      </c>
      <c r="AS19" s="177">
        <v>0.45150000000000001</v>
      </c>
      <c r="AT19" s="177">
        <v>0.27600000000000002</v>
      </c>
      <c r="AU19" s="177">
        <v>0.33169999999999999</v>
      </c>
      <c r="AV19" s="177">
        <v>0.25</v>
      </c>
      <c r="AW19" s="177"/>
      <c r="AX19" s="177"/>
      <c r="AY19" s="177">
        <v>1600</v>
      </c>
      <c r="AZ19" s="177"/>
      <c r="BA19" s="177"/>
      <c r="BB19" s="177"/>
      <c r="BC19" s="177">
        <v>0.04</v>
      </c>
      <c r="BD19" s="177"/>
      <c r="BE19" s="177"/>
      <c r="BF19" s="177">
        <v>4.7797200000000002</v>
      </c>
      <c r="BG19" s="177"/>
      <c r="BH19" s="177"/>
      <c r="BI19" s="177">
        <v>0.46860000000000002</v>
      </c>
      <c r="BJ19" s="177"/>
    </row>
    <row r="20" spans="1:62">
      <c r="A20" s="177">
        <v>14</v>
      </c>
      <c r="B20" s="177" t="s">
        <v>21</v>
      </c>
      <c r="C20" s="177">
        <v>201360604</v>
      </c>
      <c r="D20" s="177" t="s">
        <v>9</v>
      </c>
      <c r="E20" s="177">
        <v>1100</v>
      </c>
      <c r="F20" s="177">
        <v>651</v>
      </c>
      <c r="G20" s="177">
        <v>301</v>
      </c>
      <c r="H20" s="177">
        <v>100</v>
      </c>
      <c r="I20" s="177">
        <v>0</v>
      </c>
      <c r="J20" s="177">
        <v>0</v>
      </c>
      <c r="K20" s="177">
        <v>501</v>
      </c>
      <c r="L20" s="177">
        <v>351</v>
      </c>
      <c r="M20" s="177">
        <v>0</v>
      </c>
      <c r="N20" s="177">
        <v>266.8</v>
      </c>
      <c r="O20" s="177">
        <v>50.1</v>
      </c>
      <c r="P20" s="177"/>
      <c r="Q20" s="177">
        <v>0.05</v>
      </c>
      <c r="R20" s="177">
        <v>0.08</v>
      </c>
      <c r="S20" s="177">
        <v>0.09</v>
      </c>
      <c r="T20" s="177">
        <v>0.01</v>
      </c>
      <c r="U20" s="177">
        <v>0</v>
      </c>
      <c r="V20" s="177">
        <v>0</v>
      </c>
      <c r="W20" s="177">
        <v>0.02</v>
      </c>
      <c r="X20" s="177">
        <v>0.01</v>
      </c>
      <c r="Y20" s="177">
        <v>0</v>
      </c>
      <c r="Z20" s="177">
        <v>0.01</v>
      </c>
      <c r="AA20" s="177">
        <v>0</v>
      </c>
      <c r="AB20" s="177"/>
      <c r="AC20" s="177">
        <v>7.5722899999999996E-2</v>
      </c>
      <c r="AD20" s="177">
        <v>27.182154999999998</v>
      </c>
      <c r="AE20" s="177">
        <v>82.662372000000005</v>
      </c>
      <c r="AF20" s="177">
        <v>82.88945600000001</v>
      </c>
      <c r="AG20" s="177">
        <v>67.903017000000006</v>
      </c>
      <c r="AH20" s="177">
        <v>14.776440000000003</v>
      </c>
      <c r="AI20" s="177">
        <v>3.9788000000000006</v>
      </c>
      <c r="AJ20" s="177">
        <v>2.8506999999999998</v>
      </c>
      <c r="AK20" s="177">
        <v>3.1795500000000003</v>
      </c>
      <c r="AL20" s="177"/>
      <c r="AM20" s="177">
        <v>0.16789999999999999</v>
      </c>
      <c r="AN20" s="177">
        <v>19.008500000000002</v>
      </c>
      <c r="AO20" s="177">
        <v>35.325800000000001</v>
      </c>
      <c r="AP20" s="177">
        <v>28.386800000000001</v>
      </c>
      <c r="AQ20" s="177">
        <v>17.0183</v>
      </c>
      <c r="AR20" s="177">
        <v>1.0052000000000001</v>
      </c>
      <c r="AS20" s="177">
        <v>0.34300000000000003</v>
      </c>
      <c r="AT20" s="177">
        <v>0.28999999999999998</v>
      </c>
      <c r="AU20" s="177">
        <v>0.15509999999999999</v>
      </c>
      <c r="AV20" s="177"/>
      <c r="AW20" s="177"/>
      <c r="AX20" s="177"/>
      <c r="AY20" s="177">
        <v>1152</v>
      </c>
      <c r="AZ20" s="177"/>
      <c r="BA20" s="177"/>
      <c r="BB20" s="177"/>
      <c r="BC20" s="177">
        <v>0.05</v>
      </c>
      <c r="BD20" s="177"/>
      <c r="BE20" s="177"/>
      <c r="BF20" s="177">
        <v>3.4780000000000002</v>
      </c>
      <c r="BG20" s="177"/>
      <c r="BH20" s="177"/>
      <c r="BI20" s="177">
        <v>0.74</v>
      </c>
      <c r="BJ20" s="177"/>
    </row>
    <row r="21" spans="1:62">
      <c r="A21" s="177">
        <v>15</v>
      </c>
      <c r="B21" s="177" t="s">
        <v>24</v>
      </c>
      <c r="C21" s="177">
        <v>201059250</v>
      </c>
      <c r="D21" s="177" t="s">
        <v>9</v>
      </c>
      <c r="E21" s="177">
        <v>393000</v>
      </c>
      <c r="F21" s="177">
        <v>7530</v>
      </c>
      <c r="G21" s="177">
        <v>1510</v>
      </c>
      <c r="H21" s="177">
        <v>100</v>
      </c>
      <c r="I21" s="177">
        <v>0</v>
      </c>
      <c r="J21" s="177">
        <v>150</v>
      </c>
      <c r="K21" s="177">
        <v>251</v>
      </c>
      <c r="L21" s="177">
        <v>301</v>
      </c>
      <c r="M21" s="177">
        <v>0</v>
      </c>
      <c r="N21" s="177">
        <v>50.2</v>
      </c>
      <c r="O21" s="177">
        <v>0</v>
      </c>
      <c r="P21" s="177"/>
      <c r="Q21" s="177">
        <v>11.69</v>
      </c>
      <c r="R21" s="177">
        <v>0.47</v>
      </c>
      <c r="S21" s="177">
        <v>0.22</v>
      </c>
      <c r="T21" s="177">
        <v>0</v>
      </c>
      <c r="U21" s="177">
        <v>0</v>
      </c>
      <c r="V21" s="177">
        <v>0</v>
      </c>
      <c r="W21" s="177">
        <v>0</v>
      </c>
      <c r="X21" s="177">
        <v>0.01</v>
      </c>
      <c r="Y21" s="177">
        <v>0</v>
      </c>
      <c r="Z21" s="177">
        <v>0</v>
      </c>
      <c r="AA21" s="177">
        <v>0</v>
      </c>
      <c r="AB21" s="177"/>
      <c r="AC21" s="177">
        <v>0.53483100000000006</v>
      </c>
      <c r="AD21" s="177">
        <v>705.53125</v>
      </c>
      <c r="AE21" s="177">
        <v>629.31488999999999</v>
      </c>
      <c r="AF21" s="177">
        <v>2277.4954500000003</v>
      </c>
      <c r="AG21" s="177">
        <v>1629.59808</v>
      </c>
      <c r="AH21" s="177">
        <v>425.49917999999997</v>
      </c>
      <c r="AI21" s="177">
        <v>14.4396</v>
      </c>
      <c r="AJ21" s="177">
        <v>27.73</v>
      </c>
      <c r="AK21" s="177">
        <v>7.82</v>
      </c>
      <c r="AL21" s="177"/>
      <c r="AM21" s="177">
        <v>0.25590000000000002</v>
      </c>
      <c r="AN21" s="177">
        <v>33.4375</v>
      </c>
      <c r="AO21" s="177">
        <v>48.784100000000002</v>
      </c>
      <c r="AP21" s="177">
        <v>54.355499999999999</v>
      </c>
      <c r="AQ21" s="177">
        <v>46.295400000000001</v>
      </c>
      <c r="AR21" s="177">
        <v>22.876300000000001</v>
      </c>
      <c r="AS21" s="177">
        <v>1.08</v>
      </c>
      <c r="AT21" s="177">
        <v>2.17</v>
      </c>
      <c r="AU21" s="177">
        <v>0.63</v>
      </c>
      <c r="AV21" s="177"/>
      <c r="AW21" s="177"/>
      <c r="AX21" s="177"/>
      <c r="AY21" s="177">
        <v>1200</v>
      </c>
      <c r="AZ21" s="177"/>
      <c r="BA21" s="177"/>
      <c r="BB21" s="177"/>
      <c r="BC21" s="177">
        <v>0.02</v>
      </c>
      <c r="BD21" s="177"/>
      <c r="BE21" s="177"/>
      <c r="BF21" s="177">
        <v>39.229999999999997</v>
      </c>
      <c r="BG21" s="177"/>
      <c r="BH21" s="177"/>
      <c r="BI21" s="177">
        <v>2.11</v>
      </c>
      <c r="BJ21" s="177"/>
    </row>
    <row r="22" spans="1:62">
      <c r="A22" s="177">
        <v>16</v>
      </c>
      <c r="B22" s="177" t="s">
        <v>27</v>
      </c>
      <c r="C22" s="177">
        <v>201162896</v>
      </c>
      <c r="D22" s="177" t="s">
        <v>9</v>
      </c>
      <c r="E22" s="177">
        <v>141000</v>
      </c>
      <c r="F22" s="177">
        <v>952</v>
      </c>
      <c r="G22" s="177">
        <v>312</v>
      </c>
      <c r="H22" s="177">
        <v>0</v>
      </c>
      <c r="I22" s="177">
        <v>0</v>
      </c>
      <c r="J22" s="177">
        <v>0</v>
      </c>
      <c r="K22" s="177">
        <v>50.1</v>
      </c>
      <c r="L22" s="177">
        <v>251</v>
      </c>
      <c r="M22" s="177">
        <v>251</v>
      </c>
      <c r="N22" s="177">
        <v>201</v>
      </c>
      <c r="O22" s="177">
        <v>301</v>
      </c>
      <c r="P22" s="177"/>
      <c r="Q22" s="177">
        <v>4.17</v>
      </c>
      <c r="R22" s="177">
        <v>0.06</v>
      </c>
      <c r="S22" s="177">
        <v>0.14000000000000001</v>
      </c>
      <c r="T22" s="177">
        <v>0</v>
      </c>
      <c r="U22" s="177">
        <v>0</v>
      </c>
      <c r="V22" s="177">
        <v>0</v>
      </c>
      <c r="W22" s="177">
        <v>0</v>
      </c>
      <c r="X22" s="177">
        <v>0.01</v>
      </c>
      <c r="Y22" s="177">
        <v>0.02</v>
      </c>
      <c r="Z22" s="177">
        <v>0.01</v>
      </c>
      <c r="AA22" s="177">
        <v>0.01</v>
      </c>
      <c r="AB22" s="177"/>
      <c r="AC22" s="177">
        <v>1.801287E-2</v>
      </c>
      <c r="AD22" s="177">
        <v>678.79489999999998</v>
      </c>
      <c r="AE22" s="177">
        <v>1825.17</v>
      </c>
      <c r="AF22" s="177">
        <v>412.490295</v>
      </c>
      <c r="AG22" s="177">
        <v>133.70916500000001</v>
      </c>
      <c r="AH22" s="177">
        <v>10.29819</v>
      </c>
      <c r="AI22" s="177">
        <v>2.0088900000000001</v>
      </c>
      <c r="AJ22" s="177">
        <v>3.42056</v>
      </c>
      <c r="AK22" s="177">
        <v>0.8</v>
      </c>
      <c r="AL22" s="177"/>
      <c r="AM22" s="177">
        <v>0.68489999999999995</v>
      </c>
      <c r="AN22" s="177">
        <v>50.77</v>
      </c>
      <c r="AO22" s="177">
        <v>41.5</v>
      </c>
      <c r="AP22" s="177">
        <v>53.920299999999997</v>
      </c>
      <c r="AQ22" s="177">
        <v>27.568899999999999</v>
      </c>
      <c r="AR22" s="177">
        <v>1.6910000000000001</v>
      </c>
      <c r="AS22" s="177">
        <v>0.39779999999999999</v>
      </c>
      <c r="AT22" s="177">
        <v>0.65780000000000005</v>
      </c>
      <c r="AU22" s="177">
        <v>0.15</v>
      </c>
      <c r="AV22" s="177"/>
      <c r="AW22" s="177"/>
      <c r="AX22" s="177"/>
      <c r="AY22" s="177">
        <v>17100</v>
      </c>
      <c r="AZ22" s="177"/>
      <c r="BA22" s="177"/>
      <c r="BB22" s="177"/>
      <c r="BC22" s="177">
        <v>0.24</v>
      </c>
      <c r="BD22" s="177"/>
      <c r="BE22" s="177"/>
      <c r="BF22" s="177">
        <v>15.474549999999999</v>
      </c>
      <c r="BG22" s="177"/>
      <c r="BH22" s="177"/>
      <c r="BI22" s="177">
        <v>1.6289</v>
      </c>
      <c r="BJ22" s="177"/>
    </row>
    <row r="23" spans="1:62">
      <c r="A23" s="177">
        <v>17</v>
      </c>
      <c r="B23" s="177" t="s">
        <v>53</v>
      </c>
      <c r="C23" s="177">
        <v>201323056</v>
      </c>
      <c r="D23" s="177" t="s">
        <v>32</v>
      </c>
      <c r="E23" s="177">
        <v>41000</v>
      </c>
      <c r="F23" s="177">
        <v>0</v>
      </c>
      <c r="G23" s="177">
        <v>301</v>
      </c>
      <c r="H23" s="177">
        <v>100</v>
      </c>
      <c r="I23" s="177">
        <v>601</v>
      </c>
      <c r="J23" s="177">
        <v>100</v>
      </c>
      <c r="K23" s="177">
        <v>301</v>
      </c>
      <c r="L23" s="177">
        <v>201</v>
      </c>
      <c r="M23" s="177">
        <v>0</v>
      </c>
      <c r="N23" s="177">
        <v>552</v>
      </c>
      <c r="O23" s="177">
        <v>1300</v>
      </c>
      <c r="P23" s="177"/>
      <c r="Q23" s="177">
        <v>3.04</v>
      </c>
      <c r="R23" s="177">
        <v>0</v>
      </c>
      <c r="S23" s="177">
        <v>0.06</v>
      </c>
      <c r="T23" s="177">
        <v>0.01</v>
      </c>
      <c r="U23" s="177">
        <v>0.08</v>
      </c>
      <c r="V23" s="177">
        <v>0.01</v>
      </c>
      <c r="W23" s="177">
        <v>0.05</v>
      </c>
      <c r="X23" s="177">
        <v>0.03</v>
      </c>
      <c r="Y23" s="177">
        <v>0</v>
      </c>
      <c r="Z23" s="177">
        <v>0.03</v>
      </c>
      <c r="AA23" s="177">
        <v>0.03</v>
      </c>
      <c r="AB23" s="177"/>
      <c r="AC23" s="177">
        <v>0.20872459999999998</v>
      </c>
      <c r="AD23" s="177">
        <v>426.28932000000003</v>
      </c>
      <c r="AE23" s="177">
        <v>160.55963</v>
      </c>
      <c r="AF23" s="177">
        <v>280.44993599999998</v>
      </c>
      <c r="AG23" s="177">
        <v>157.32228099999998</v>
      </c>
      <c r="AH23" s="177">
        <v>46.87</v>
      </c>
      <c r="AI23" s="177">
        <v>16.399999999999999</v>
      </c>
      <c r="AJ23" s="177">
        <v>3.53</v>
      </c>
      <c r="AK23" s="177">
        <v>0.8</v>
      </c>
      <c r="AL23" s="177"/>
      <c r="AM23" s="177">
        <v>0.56259999999999999</v>
      </c>
      <c r="AN23" s="177">
        <v>37.393799999999999</v>
      </c>
      <c r="AO23" s="177">
        <v>41.703800000000001</v>
      </c>
      <c r="AP23" s="177">
        <v>63.164400000000001</v>
      </c>
      <c r="AQ23" s="177">
        <v>32.843899999999998</v>
      </c>
      <c r="AR23" s="177">
        <v>9.19</v>
      </c>
      <c r="AS23" s="177">
        <v>2.44</v>
      </c>
      <c r="AT23" s="177">
        <v>1.06</v>
      </c>
      <c r="AU23" s="177">
        <v>0.24</v>
      </c>
      <c r="AV23" s="177"/>
      <c r="AW23" s="177"/>
      <c r="AX23" s="177">
        <v>8520</v>
      </c>
      <c r="AY23" s="177">
        <v>1700</v>
      </c>
      <c r="AZ23" s="177">
        <v>1530</v>
      </c>
      <c r="BA23" s="177"/>
      <c r="BB23" s="177">
        <v>1.02</v>
      </c>
      <c r="BC23" s="177">
        <v>0.04</v>
      </c>
      <c r="BD23" s="177">
        <v>0.03</v>
      </c>
      <c r="BE23" s="177">
        <v>45.34</v>
      </c>
      <c r="BF23" s="177">
        <v>9.76</v>
      </c>
      <c r="BG23" s="177">
        <v>1.08</v>
      </c>
      <c r="BH23" s="177">
        <v>7.2</v>
      </c>
      <c r="BI23" s="177">
        <v>0.83</v>
      </c>
      <c r="BJ23" s="177">
        <v>0.33</v>
      </c>
    </row>
    <row r="24" spans="1:62">
      <c r="A24" s="177">
        <v>18</v>
      </c>
      <c r="B24" s="177" t="s">
        <v>30</v>
      </c>
      <c r="C24" s="177">
        <v>201449348</v>
      </c>
      <c r="D24" s="177" t="s">
        <v>9</v>
      </c>
      <c r="E24" s="177">
        <v>804</v>
      </c>
      <c r="F24" s="177">
        <v>603</v>
      </c>
      <c r="G24" s="177">
        <v>50.1</v>
      </c>
      <c r="H24" s="177">
        <v>0</v>
      </c>
      <c r="I24" s="177">
        <v>100</v>
      </c>
      <c r="J24" s="177">
        <v>100</v>
      </c>
      <c r="K24" s="177">
        <v>301</v>
      </c>
      <c r="L24" s="177">
        <v>0</v>
      </c>
      <c r="M24" s="177">
        <v>100</v>
      </c>
      <c r="N24" s="177">
        <v>651</v>
      </c>
      <c r="O24" s="177">
        <v>0</v>
      </c>
      <c r="P24" s="177"/>
      <c r="Q24" s="177">
        <v>0.03</v>
      </c>
      <c r="R24" s="177">
        <v>7.0000000000000007E-2</v>
      </c>
      <c r="S24" s="177">
        <v>0.02</v>
      </c>
      <c r="T24" s="177">
        <v>0</v>
      </c>
      <c r="U24" s="177">
        <v>0.01</v>
      </c>
      <c r="V24" s="177">
        <v>0.01</v>
      </c>
      <c r="W24" s="177">
        <v>0.02</v>
      </c>
      <c r="X24" s="177">
        <v>0</v>
      </c>
      <c r="Y24" s="177">
        <v>0</v>
      </c>
      <c r="Z24" s="177">
        <v>0.04</v>
      </c>
      <c r="AA24" s="177">
        <v>0</v>
      </c>
      <c r="AB24" s="177"/>
      <c r="AC24" s="177">
        <v>2.2078952000000003</v>
      </c>
      <c r="AD24" s="177">
        <v>297.70454699999999</v>
      </c>
      <c r="AE24" s="177">
        <v>522.39323300000001</v>
      </c>
      <c r="AF24" s="177">
        <v>731.2652159999999</v>
      </c>
      <c r="AG24" s="177">
        <v>357.93685199999999</v>
      </c>
      <c r="AH24" s="177">
        <v>67.269739999999999</v>
      </c>
      <c r="AI24" s="177">
        <v>5.57</v>
      </c>
      <c r="AJ24" s="177">
        <v>3.14</v>
      </c>
      <c r="AK24" s="177">
        <v>1.2</v>
      </c>
      <c r="AL24" s="177"/>
      <c r="AM24" s="177">
        <v>3.6676000000000002</v>
      </c>
      <c r="AN24" s="177">
        <v>67.506699999999995</v>
      </c>
      <c r="AO24" s="177">
        <v>76.485100000000003</v>
      </c>
      <c r="AP24" s="177">
        <v>80.7136</v>
      </c>
      <c r="AQ24" s="177">
        <v>47.2836</v>
      </c>
      <c r="AR24" s="177">
        <v>4.9101999999999997</v>
      </c>
      <c r="AS24" s="177">
        <v>0.54</v>
      </c>
      <c r="AT24" s="177">
        <v>0.34</v>
      </c>
      <c r="AU24" s="177">
        <v>0.13</v>
      </c>
      <c r="AV24" s="177"/>
      <c r="AW24" s="177">
        <v>74500</v>
      </c>
      <c r="AX24" s="177"/>
      <c r="AY24" s="177">
        <v>601</v>
      </c>
      <c r="AZ24" s="177"/>
      <c r="BA24" s="177">
        <v>1.24</v>
      </c>
      <c r="BB24" s="177"/>
      <c r="BC24" s="177">
        <v>0.02</v>
      </c>
      <c r="BD24" s="177"/>
      <c r="BE24" s="177"/>
      <c r="BF24" s="177">
        <v>4.1399999999999997</v>
      </c>
      <c r="BG24" s="177"/>
      <c r="BH24" s="177"/>
      <c r="BI24" s="177">
        <v>0.45</v>
      </c>
      <c r="BJ24" s="177"/>
    </row>
    <row r="29" spans="1:62">
      <c r="AW29" t="str">
        <f>_xlfn.TEXTJOIN(",",TRUE,AW5:AZ5)</f>
        <v>Prior apheresis,Day 30+/-2,Day 90+/-14,Day 180+/-14</v>
      </c>
      <c r="BE29" t="str">
        <f>_xlfn.TEXTJOIN(",",TRUE,BE5:BG5)</f>
        <v>Day 30+/-2,Day 90+/-14,Day 180+/-14</v>
      </c>
    </row>
  </sheetData>
  <mergeCells count="11">
    <mergeCell ref="AC3:AV3"/>
    <mergeCell ref="BH4:BJ4"/>
    <mergeCell ref="BA4:BD4"/>
    <mergeCell ref="BE4:BG4"/>
    <mergeCell ref="E4:P4"/>
    <mergeCell ref="Q4:AB4"/>
    <mergeCell ref="AC4:AL4"/>
    <mergeCell ref="E3:AB3"/>
    <mergeCell ref="AW3:BD3"/>
    <mergeCell ref="BE3:BJ3"/>
    <mergeCell ref="AW4:A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 info</vt:lpstr>
      <vt:lpstr>Hiệu quảSurvival</vt:lpstr>
      <vt:lpstr>Clinical Raw data</vt:lpstr>
      <vt:lpstr>CART and B cell follow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Van Hoang</dc:creator>
  <cp:lastModifiedBy>Nguyễn Nguyên</cp:lastModifiedBy>
  <dcterms:created xsi:type="dcterms:W3CDTF">2026-07-18T08:54:20Z</dcterms:created>
  <dcterms:modified xsi:type="dcterms:W3CDTF">2026-09-09T18:52:16Z</dcterms:modified>
</cp:coreProperties>
</file>